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桌面\工作经历\创维经历\2026.08\"/>
    </mc:Choice>
  </mc:AlternateContent>
  <xr:revisionPtr revIDLastSave="0" documentId="13_ncr:1_{AA63646A-0EF4-4C39-BD5E-F90082186372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QCQH02-AL09线" sheetId="6" r:id="rId1"/>
    <sheet name="QCJG04-AL10线-V1" sheetId="3" r:id="rId2"/>
    <sheet name="QCAL12-AL11线" sheetId="4" r:id="rId3"/>
    <sheet name="QCJG012-AL11线" sheetId="2" r:id="rId4"/>
    <sheet name="QCJG04-AL12线" sheetId="1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6" l="1"/>
  <c r="P2" i="6" l="1"/>
  <c r="Q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2" i="6"/>
  <c r="Q9" i="3" l="1" a="1"/>
  <c r="Q9" i="3" s="1"/>
  <c r="W3" i="3" s="1"/>
  <c r="L3" i="6"/>
  <c r="L4" i="6"/>
  <c r="L5" i="6"/>
  <c r="L6" i="6"/>
  <c r="L7" i="6"/>
  <c r="L8" i="6"/>
  <c r="L9" i="6"/>
  <c r="P9" i="6" s="1"/>
  <c r="L10" i="6"/>
  <c r="L11" i="6"/>
  <c r="L12" i="6"/>
  <c r="L13" i="6"/>
  <c r="P13" i="6" s="1"/>
  <c r="L14" i="6"/>
  <c r="P14" i="6" s="1"/>
  <c r="L15" i="6"/>
  <c r="L16" i="6"/>
  <c r="L17" i="6"/>
  <c r="P17" i="6" s="1"/>
  <c r="L18" i="6"/>
  <c r="P18" i="6" s="1"/>
  <c r="L19" i="6"/>
  <c r="O19" i="6" s="1"/>
  <c r="P19" i="6" s="1"/>
  <c r="L20" i="6"/>
  <c r="L21" i="6"/>
  <c r="O21" i="6" s="1"/>
  <c r="P21" i="6" s="1"/>
  <c r="L22" i="6"/>
  <c r="P10" i="6"/>
  <c r="P11" i="6"/>
  <c r="P1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" i="6"/>
  <c r="L2" i="6" s="1"/>
  <c r="O22" i="6"/>
  <c r="P22" i="6" s="1"/>
  <c r="O20" i="6"/>
  <c r="P20" i="6" s="1"/>
  <c r="P15" i="6"/>
  <c r="P8" i="6"/>
  <c r="P7" i="6"/>
  <c r="P6" i="6"/>
  <c r="P5" i="6"/>
  <c r="P4" i="6"/>
  <c r="P3" i="6"/>
  <c r="J4" i="4"/>
  <c r="J29" i="4"/>
  <c r="L29" i="4" s="1"/>
  <c r="O29" i="4" s="1"/>
  <c r="P29" i="4" s="1"/>
  <c r="J28" i="4"/>
  <c r="L28" i="4" s="1"/>
  <c r="O28" i="4" s="1"/>
  <c r="P28" i="4" s="1"/>
  <c r="J27" i="4"/>
  <c r="L27" i="4" s="1"/>
  <c r="O27" i="4" s="1"/>
  <c r="P27" i="4" s="1"/>
  <c r="J26" i="4"/>
  <c r="L26" i="4" s="1"/>
  <c r="O26" i="4" s="1"/>
  <c r="P26" i="4" s="1"/>
  <c r="J25" i="4"/>
  <c r="L25" i="4" s="1"/>
  <c r="O25" i="4" s="1"/>
  <c r="P25" i="4" s="1"/>
  <c r="J24" i="4"/>
  <c r="L24" i="4" s="1"/>
  <c r="O24" i="4" s="1"/>
  <c r="P24" i="4" s="1"/>
  <c r="S24" i="4" s="1"/>
  <c r="J23" i="4"/>
  <c r="L23" i="4" s="1"/>
  <c r="O23" i="4" s="1"/>
  <c r="J22" i="4"/>
  <c r="L22" i="4" s="1"/>
  <c r="O22" i="4" s="1"/>
  <c r="P22" i="4" s="1"/>
  <c r="J21" i="4"/>
  <c r="L21" i="4" s="1"/>
  <c r="O21" i="4" s="1"/>
  <c r="P21" i="4" s="1"/>
  <c r="J20" i="4"/>
  <c r="L20" i="4" s="1"/>
  <c r="O20" i="4" s="1"/>
  <c r="P20" i="4" s="1"/>
  <c r="J19" i="4"/>
  <c r="L19" i="4" s="1"/>
  <c r="O19" i="4" s="1"/>
  <c r="P19" i="4" s="1"/>
  <c r="J18" i="4"/>
  <c r="L18" i="4" s="1"/>
  <c r="O18" i="4" s="1"/>
  <c r="P18" i="4" s="1"/>
  <c r="J17" i="4"/>
  <c r="L17" i="4" s="1"/>
  <c r="O17" i="4" s="1"/>
  <c r="P17" i="4" s="1"/>
  <c r="J16" i="4"/>
  <c r="L16" i="4" s="1"/>
  <c r="O16" i="4" s="1"/>
  <c r="P16" i="4" s="1"/>
  <c r="J15" i="4"/>
  <c r="L15" i="4" s="1"/>
  <c r="O15" i="4" s="1"/>
  <c r="P15" i="4" s="1"/>
  <c r="J14" i="4"/>
  <c r="L14" i="4" s="1"/>
  <c r="O14" i="4" s="1"/>
  <c r="P14" i="4" s="1"/>
  <c r="J13" i="4"/>
  <c r="L13" i="4" s="1"/>
  <c r="O13" i="4" s="1"/>
  <c r="P13" i="4" s="1"/>
  <c r="J12" i="4"/>
  <c r="L12" i="4" s="1"/>
  <c r="O12" i="4" s="1"/>
  <c r="P12" i="4" s="1"/>
  <c r="J11" i="4"/>
  <c r="L11" i="4" s="1"/>
  <c r="O11" i="4" s="1"/>
  <c r="P11" i="4" s="1"/>
  <c r="J10" i="4"/>
  <c r="L10" i="4" s="1"/>
  <c r="O10" i="4" s="1"/>
  <c r="P10" i="4" s="1"/>
  <c r="J9" i="4"/>
  <c r="L9" i="4" s="1"/>
  <c r="O9" i="4" s="1"/>
  <c r="J5" i="4"/>
  <c r="L5" i="4" s="1"/>
  <c r="O5" i="4" s="1"/>
  <c r="P5" i="4" s="1"/>
  <c r="L4" i="4"/>
  <c r="O4" i="4" s="1"/>
  <c r="P4" i="4" s="1"/>
  <c r="J3" i="4"/>
  <c r="L3" i="4" s="1"/>
  <c r="O3" i="4" s="1"/>
  <c r="P3" i="4" s="1"/>
  <c r="J2" i="4"/>
  <c r="L2" i="4" s="1"/>
  <c r="O2" i="4" s="1"/>
  <c r="P29" i="2"/>
  <c r="O29" i="2"/>
  <c r="P28" i="2"/>
  <c r="O28" i="2"/>
  <c r="O27" i="2"/>
  <c r="P27" i="2" s="1"/>
  <c r="O26" i="2"/>
  <c r="P26" i="2" s="1"/>
  <c r="O25" i="2"/>
  <c r="Q23" i="2" s="1"/>
  <c r="P24" i="2"/>
  <c r="S24" i="2" s="1"/>
  <c r="O24" i="2"/>
  <c r="O23" i="2"/>
  <c r="P23" i="2" s="1"/>
  <c r="S23" i="2" s="1"/>
  <c r="O22" i="2"/>
  <c r="P22" i="2" s="1"/>
  <c r="O21" i="2"/>
  <c r="P21" i="2" s="1"/>
  <c r="O20" i="2"/>
  <c r="P20" i="2" s="1"/>
  <c r="P19" i="2"/>
  <c r="O19" i="2"/>
  <c r="P18" i="2"/>
  <c r="O18" i="2"/>
  <c r="O17" i="2"/>
  <c r="P17" i="2" s="1"/>
  <c r="O16" i="2"/>
  <c r="P16" i="2" s="1"/>
  <c r="O15" i="2"/>
  <c r="P15" i="2" s="1"/>
  <c r="O14" i="2"/>
  <c r="P14" i="2" s="1"/>
  <c r="P13" i="2"/>
  <c r="O13" i="2"/>
  <c r="P12" i="2"/>
  <c r="O12" i="2"/>
  <c r="O11" i="2"/>
  <c r="P11" i="2" s="1"/>
  <c r="O10" i="2"/>
  <c r="P10" i="2" s="1"/>
  <c r="O9" i="2"/>
  <c r="Q9" i="2" s="1"/>
  <c r="W3" i="2" s="1"/>
  <c r="O5" i="2"/>
  <c r="P5" i="2" s="1"/>
  <c r="O4" i="2"/>
  <c r="P4" i="2" s="1"/>
  <c r="O3" i="2"/>
  <c r="P3" i="2" s="1"/>
  <c r="W2" i="2"/>
  <c r="V2" i="2"/>
  <c r="O2" i="2"/>
  <c r="P2" i="2" s="1"/>
  <c r="S2" i="2" s="1"/>
  <c r="V4" i="2" s="1"/>
  <c r="W1" i="2"/>
  <c r="V1" i="2"/>
  <c r="P29" i="1"/>
  <c r="O29" i="1"/>
  <c r="L29" i="1"/>
  <c r="P28" i="1"/>
  <c r="O28" i="1"/>
  <c r="L28" i="1"/>
  <c r="P27" i="1"/>
  <c r="O27" i="1"/>
  <c r="L27" i="1"/>
  <c r="P26" i="1"/>
  <c r="O26" i="1"/>
  <c r="L26" i="1"/>
  <c r="S25" i="1"/>
  <c r="P25" i="1"/>
  <c r="O25" i="1"/>
  <c r="L25" i="1"/>
  <c r="S24" i="1"/>
  <c r="P24" i="1"/>
  <c r="O24" i="1"/>
  <c r="L24" i="1"/>
  <c r="S23" i="1"/>
  <c r="Q23" i="1"/>
  <c r="P23" i="1"/>
  <c r="O23" i="1"/>
  <c r="L23" i="1"/>
  <c r="P22" i="1"/>
  <c r="O22" i="1"/>
  <c r="L22" i="1"/>
  <c r="P21" i="1"/>
  <c r="O21" i="1"/>
  <c r="L21" i="1"/>
  <c r="P20" i="1"/>
  <c r="O20" i="1"/>
  <c r="L20" i="1"/>
  <c r="P19" i="1"/>
  <c r="O19" i="1"/>
  <c r="L19" i="1"/>
  <c r="P18" i="1"/>
  <c r="O18" i="1"/>
  <c r="L18" i="1"/>
  <c r="P17" i="1"/>
  <c r="O17" i="1"/>
  <c r="L17" i="1"/>
  <c r="P16" i="1"/>
  <c r="O16" i="1"/>
  <c r="L16" i="1"/>
  <c r="P15" i="1"/>
  <c r="O15" i="1"/>
  <c r="L15" i="1"/>
  <c r="P14" i="1"/>
  <c r="O14" i="1"/>
  <c r="L14" i="1"/>
  <c r="P13" i="1"/>
  <c r="O13" i="1"/>
  <c r="L13" i="1"/>
  <c r="P12" i="1"/>
  <c r="O12" i="1"/>
  <c r="L12" i="1"/>
  <c r="P11" i="1"/>
  <c r="O11" i="1"/>
  <c r="L11" i="1"/>
  <c r="P10" i="1"/>
  <c r="O10" i="1"/>
  <c r="L10" i="1"/>
  <c r="S9" i="1"/>
  <c r="Q9" i="1"/>
  <c r="P9" i="1"/>
  <c r="O9" i="1"/>
  <c r="L9" i="1"/>
  <c r="P5" i="1"/>
  <c r="O5" i="1"/>
  <c r="L5" i="1"/>
  <c r="W4" i="1"/>
  <c r="V4" i="1"/>
  <c r="P4" i="1"/>
  <c r="O4" i="1"/>
  <c r="L4" i="1"/>
  <c r="W3" i="1"/>
  <c r="V3" i="1"/>
  <c r="P3" i="1"/>
  <c r="O3" i="1"/>
  <c r="L3" i="1"/>
  <c r="W2" i="1"/>
  <c r="V2" i="1"/>
  <c r="S2" i="1"/>
  <c r="Q2" i="1"/>
  <c r="P2" i="1"/>
  <c r="O2" i="1"/>
  <c r="L2" i="1"/>
  <c r="W1" i="1"/>
  <c r="V1" i="1"/>
  <c r="M30" i="3"/>
  <c r="P29" i="3"/>
  <c r="O29" i="3"/>
  <c r="L29" i="3"/>
  <c r="J29" i="3"/>
  <c r="P28" i="3"/>
  <c r="O28" i="3"/>
  <c r="L28" i="3"/>
  <c r="J28" i="3"/>
  <c r="P27" i="3"/>
  <c r="O27" i="3"/>
  <c r="L27" i="3"/>
  <c r="J27" i="3"/>
  <c r="P26" i="3"/>
  <c r="O26" i="3"/>
  <c r="L26" i="3"/>
  <c r="J26" i="3"/>
  <c r="S25" i="3"/>
  <c r="P25" i="3"/>
  <c r="O25" i="3"/>
  <c r="L25" i="3"/>
  <c r="J25" i="3"/>
  <c r="S24" i="3"/>
  <c r="P24" i="3"/>
  <c r="O24" i="3"/>
  <c r="L24" i="3"/>
  <c r="J24" i="3"/>
  <c r="S23" i="3"/>
  <c r="Q23" i="3"/>
  <c r="P23" i="3"/>
  <c r="O23" i="3"/>
  <c r="L23" i="3"/>
  <c r="J23" i="3"/>
  <c r="P22" i="3"/>
  <c r="O22" i="3"/>
  <c r="L22" i="3"/>
  <c r="J22" i="3"/>
  <c r="P21" i="3"/>
  <c r="O21" i="3"/>
  <c r="L21" i="3"/>
  <c r="J21" i="3"/>
  <c r="P20" i="3"/>
  <c r="O20" i="3"/>
  <c r="L20" i="3"/>
  <c r="J20" i="3"/>
  <c r="P19" i="3"/>
  <c r="O19" i="3"/>
  <c r="L19" i="3"/>
  <c r="J19" i="3"/>
  <c r="P18" i="3"/>
  <c r="O18" i="3"/>
  <c r="L18" i="3"/>
  <c r="J18" i="3"/>
  <c r="P17" i="3"/>
  <c r="O17" i="3"/>
  <c r="L17" i="3"/>
  <c r="J17" i="3"/>
  <c r="P16" i="3"/>
  <c r="O16" i="3"/>
  <c r="L16" i="3"/>
  <c r="J16" i="3"/>
  <c r="P15" i="3"/>
  <c r="O15" i="3"/>
  <c r="L15" i="3"/>
  <c r="J15" i="3"/>
  <c r="P14" i="3"/>
  <c r="O14" i="3"/>
  <c r="L14" i="3"/>
  <c r="J14" i="3"/>
  <c r="P13" i="3"/>
  <c r="O13" i="3"/>
  <c r="L13" i="3"/>
  <c r="J13" i="3"/>
  <c r="P12" i="3"/>
  <c r="O12" i="3"/>
  <c r="L12" i="3"/>
  <c r="J12" i="3"/>
  <c r="P11" i="3"/>
  <c r="O11" i="3"/>
  <c r="L11" i="3"/>
  <c r="J11" i="3"/>
  <c r="P10" i="3"/>
  <c r="O10" i="3"/>
  <c r="L10" i="3"/>
  <c r="J10" i="3"/>
  <c r="S9" i="3"/>
  <c r="P9" i="3"/>
  <c r="O9" i="3"/>
  <c r="L9" i="3"/>
  <c r="J9" i="3"/>
  <c r="P5" i="3"/>
  <c r="O5" i="3"/>
  <c r="L5" i="3"/>
  <c r="J5" i="3"/>
  <c r="W4" i="3"/>
  <c r="P4" i="3"/>
  <c r="O4" i="3"/>
  <c r="L4" i="3"/>
  <c r="J4" i="3"/>
  <c r="J3" i="3"/>
  <c r="W2" i="3"/>
  <c r="V2" i="3"/>
  <c r="P2" i="3"/>
  <c r="O2" i="3"/>
  <c r="L2" i="3"/>
  <c r="J2" i="3"/>
  <c r="W1" i="3"/>
  <c r="V1" i="3"/>
  <c r="L3" i="3" l="1"/>
  <c r="O3" i="3" s="1"/>
  <c r="P3" i="3" s="1"/>
  <c r="S2" i="3" s="1"/>
  <c r="V4" i="3" s="1"/>
  <c r="P16" i="6"/>
  <c r="Q2" i="4"/>
  <c r="P2" i="4"/>
  <c r="S2" i="4" s="1"/>
  <c r="P23" i="4"/>
  <c r="S23" i="4" s="1"/>
  <c r="Q23" i="4"/>
  <c r="S25" i="4"/>
  <c r="Q9" i="4"/>
  <c r="P9" i="4"/>
  <c r="S9" i="4" s="1"/>
  <c r="Q2" i="2"/>
  <c r="V3" i="2" s="1"/>
  <c r="P9" i="2"/>
  <c r="S9" i="2" s="1"/>
  <c r="W4" i="2" s="1"/>
  <c r="P25" i="2"/>
  <c r="S25" i="2" s="1"/>
  <c r="Q2" i="3" l="1"/>
  <c r="V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<sst xmlns="http://schemas.openxmlformats.org/spreadsheetml/2006/main" count="341" uniqueCount="70">
  <si>
    <t>机种</t>
  </si>
  <si>
    <t>工序段</t>
  </si>
  <si>
    <t>序号</t>
  </si>
  <si>
    <t>工序名称</t>
  </si>
  <si>
    <t>工时1</t>
  </si>
  <si>
    <t>工时2</t>
  </si>
  <si>
    <t>工时3</t>
  </si>
  <si>
    <t>工时4</t>
  </si>
  <si>
    <t>工时5</t>
  </si>
  <si>
    <t>平均工时</t>
  </si>
  <si>
    <t>宽放率</t>
  </si>
  <si>
    <t>标准工时</t>
  </si>
  <si>
    <t>标准人力</t>
  </si>
  <si>
    <t>共模数量</t>
  </si>
  <si>
    <t>节拍时间</t>
  </si>
  <si>
    <t>工序产出(Pcs/H)</t>
  </si>
  <si>
    <t>平衡率</t>
  </si>
  <si>
    <t>目标产出(Pcs/H)</t>
  </si>
  <si>
    <t>产能(Pcs/H)</t>
  </si>
  <si>
    <t>QCJG04</t>
  </si>
  <si>
    <t>DIP</t>
  </si>
  <si>
    <t>ICT测试</t>
  </si>
  <si>
    <t>段别</t>
  </si>
  <si>
    <t>FCT测试</t>
  </si>
  <si>
    <t>线体平衡率</t>
  </si>
  <si>
    <t>CNC分板</t>
  </si>
  <si>
    <t>UPH</t>
  </si>
  <si>
    <t>点胶&amp;装屏蔽盖</t>
  </si>
  <si>
    <t>工位数量</t>
  </si>
  <si>
    <t>组装</t>
  </si>
  <si>
    <t>屏外观检查&amp;撕3M胶</t>
  </si>
  <si>
    <t>组装PCBA</t>
  </si>
  <si>
    <t>贴醋酸胶布</t>
  </si>
  <si>
    <t>锁支架螺丝</t>
  </si>
  <si>
    <t>安装后壳</t>
  </si>
  <si>
    <t>等离子清洁</t>
  </si>
  <si>
    <t>自动点胶</t>
  </si>
  <si>
    <t>胶路检测</t>
  </si>
  <si>
    <t>自动贴屏</t>
  </si>
  <si>
    <t>自动保压</t>
  </si>
  <si>
    <t>外观检查</t>
  </si>
  <si>
    <t>锁后壳螺丝1</t>
  </si>
  <si>
    <t>锁后壳螺丝2</t>
  </si>
  <si>
    <t>成品下料</t>
  </si>
  <si>
    <t>老化</t>
  </si>
  <si>
    <t>ATE测试</t>
  </si>
  <si>
    <t>OQC</t>
  </si>
  <si>
    <t>质检+遏制</t>
  </si>
  <si>
    <t>包装</t>
  </si>
  <si>
    <t>贴保护膜</t>
  </si>
  <si>
    <t>CCD检查设备</t>
  </si>
  <si>
    <t>装箱封箱</t>
  </si>
  <si>
    <t>QCJL12</t>
    <phoneticPr fontId="1" type="noConversion"/>
  </si>
  <si>
    <t>QCJG12</t>
    <phoneticPr fontId="1" type="noConversion"/>
  </si>
  <si>
    <t>QCJL12</t>
    <phoneticPr fontId="6" type="noConversion"/>
  </si>
  <si>
    <t>FCT测试</t>
    <phoneticPr fontId="6" type="noConversion"/>
  </si>
  <si>
    <t>装面板支架</t>
  </si>
  <si>
    <t>锁面板螺丝</t>
  </si>
  <si>
    <t>屏模组上料</t>
  </si>
  <si>
    <t>自动贴合</t>
  </si>
  <si>
    <t>保压静置</t>
  </si>
  <si>
    <t>上料装排线</t>
  </si>
  <si>
    <t>锁面板螺丝2</t>
  </si>
  <si>
    <t>锁PCBA螺丝</t>
  </si>
  <si>
    <t>组装后盖</t>
  </si>
  <si>
    <t>锁后盖螺丝</t>
  </si>
  <si>
    <t>ATE</t>
  </si>
  <si>
    <t>贴膜</t>
  </si>
  <si>
    <t>包装1</t>
  </si>
  <si>
    <t>QCQH02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</si>
</sst>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_ 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name val="微软雅黑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10" fontId="1" fillId="0" borderId="4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 i="0" baseline="0">
                <a:effectLst/>
              </a:rPr>
              <a:t>QCQH02 AL-9</a:t>
            </a:r>
            <a:r>
              <a:rPr lang="zh-CN" altLang="zh-CN" sz="1800" b="1" i="0" baseline="0">
                <a:effectLst/>
              </a:rPr>
              <a:t>线 站别产出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31759242046139857"/>
          <c:y val="2.1674457931315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1624225772251734E-2"/>
          <c:y val="0.14418639703327579"/>
          <c:w val="0.92837577422774831"/>
          <c:h val="0.6925767299284646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'QCQH02-AL09线'!$D$2:$D$18</c:f>
              <c:strCache>
                <c:ptCount val="17"/>
                <c:pt idx="0">
                  <c:v>装面板支架</c:v>
                </c:pt>
                <c:pt idx="1">
                  <c:v>锁面板螺丝</c:v>
                </c:pt>
                <c:pt idx="2">
                  <c:v>屏模组上料</c:v>
                </c:pt>
                <c:pt idx="3">
                  <c:v>等离子清洁</c:v>
                </c:pt>
                <c:pt idx="4">
                  <c:v>自动点胶</c:v>
                </c:pt>
                <c:pt idx="5">
                  <c:v>胶路检测</c:v>
                </c:pt>
                <c:pt idx="6">
                  <c:v>自动贴合</c:v>
                </c:pt>
                <c:pt idx="7">
                  <c:v>自动保压</c:v>
                </c:pt>
                <c:pt idx="8">
                  <c:v>保压静置</c:v>
                </c:pt>
                <c:pt idx="9">
                  <c:v>上料装排线</c:v>
                </c:pt>
                <c:pt idx="10">
                  <c:v>锁面板螺丝2</c:v>
                </c:pt>
                <c:pt idx="11">
                  <c:v>组装PCBA</c:v>
                </c:pt>
                <c:pt idx="12">
                  <c:v>锁PCBA螺丝</c:v>
                </c:pt>
                <c:pt idx="13">
                  <c:v>组装后盖</c:v>
                </c:pt>
                <c:pt idx="14">
                  <c:v>锁后盖螺丝</c:v>
                </c:pt>
                <c:pt idx="15">
                  <c:v>外观检查</c:v>
                </c:pt>
                <c:pt idx="16">
                  <c:v>ATE</c:v>
                </c:pt>
              </c:strCache>
            </c:strRef>
          </c:cat>
          <c:val>
            <c:numRef>
              <c:f>'QCQH02-AL09线'!$P$2:$P$18</c:f>
              <c:numCache>
                <c:formatCode>General</c:formatCode>
                <c:ptCount val="17"/>
                <c:pt idx="0">
                  <c:v>57</c:v>
                </c:pt>
                <c:pt idx="1">
                  <c:v>72</c:v>
                </c:pt>
                <c:pt idx="2">
                  <c:v>86</c:v>
                </c:pt>
                <c:pt idx="3">
                  <c:v>69</c:v>
                </c:pt>
                <c:pt idx="4">
                  <c:v>71</c:v>
                </c:pt>
                <c:pt idx="5">
                  <c:v>85</c:v>
                </c:pt>
                <c:pt idx="6">
                  <c:v>88</c:v>
                </c:pt>
                <c:pt idx="7">
                  <c:v>72</c:v>
                </c:pt>
                <c:pt idx="8">
                  <c:v>67</c:v>
                </c:pt>
                <c:pt idx="9">
                  <c:v>93</c:v>
                </c:pt>
                <c:pt idx="10">
                  <c:v>68</c:v>
                </c:pt>
                <c:pt idx="11">
                  <c:v>69</c:v>
                </c:pt>
                <c:pt idx="12">
                  <c:v>60</c:v>
                </c:pt>
                <c:pt idx="13">
                  <c:v>89</c:v>
                </c:pt>
                <c:pt idx="14">
                  <c:v>65</c:v>
                </c:pt>
                <c:pt idx="15">
                  <c:v>52</c:v>
                </c:pt>
                <c:pt idx="1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E-437C-AA4C-E18B84A3A4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80345311"/>
        <c:axId val="1680340319"/>
      </c:barChart>
      <c:catAx>
        <c:axId val="168034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0340319"/>
        <c:crosses val="autoZero"/>
        <c:auto val="1"/>
        <c:lblAlgn val="ctr"/>
        <c:lblOffset val="100"/>
        <c:noMultiLvlLbl val="0"/>
      </c:catAx>
      <c:valAx>
        <c:axId val="168034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034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/>
              <a:t>QCJG04 AL-10</a:t>
            </a:r>
            <a:r>
              <a:rPr lang="zh-CN"/>
              <a:t>线 </a:t>
            </a:r>
            <a:r>
              <a:rPr lang="en-US"/>
              <a:t>DIP</a:t>
            </a:r>
            <a:r>
              <a:rPr lang="zh-CN"/>
              <a:t>产出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'QCJG04-AL10线-V1'!$P$1</c:f>
              <c:strCache>
                <c:ptCount val="1"/>
                <c:pt idx="0">
                  <c:v>工序产出(Pcs/H)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'QCJG04-AL10线-V1'!$D$2:$D$5</c:f>
              <c:strCache>
                <c:ptCount val="4"/>
                <c:pt idx="0">
                  <c:v>ICT测试</c:v>
                </c:pt>
                <c:pt idx="1">
                  <c:v>FCT测试</c:v>
                </c:pt>
                <c:pt idx="2">
                  <c:v>CNC分板</c:v>
                </c:pt>
                <c:pt idx="3">
                  <c:v>点胶&amp;装屏蔽盖</c:v>
                </c:pt>
              </c:strCache>
            </c:strRef>
          </c:cat>
          <c:val>
            <c:numRef>
              <c:f>'QCJG04-AL10线-V1'!$P$2:$P$5</c:f>
              <c:numCache>
                <c:formatCode>General</c:formatCode>
                <c:ptCount val="4"/>
                <c:pt idx="0">
                  <c:v>323</c:v>
                </c:pt>
                <c:pt idx="1">
                  <c:v>0</c:v>
                </c:pt>
                <c:pt idx="2">
                  <c:v>89</c:v>
                </c:pt>
                <c:pt idx="3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D-48C5-A350-9C1A16BD23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604720"/>
        <c:axId val="732605968"/>
      </c:barChart>
      <c:catAx>
        <c:axId val="73260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32605968"/>
        <c:crosses val="autoZero"/>
        <c:auto val="1"/>
        <c:lblAlgn val="ctr"/>
        <c:lblOffset val="100"/>
        <c:noMultiLvlLbl val="0"/>
      </c:catAx>
      <c:valAx>
        <c:axId val="73260596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32604720"/>
        <c:crosses val="autoZero"/>
        <c:crossBetween val="between"/>
        <c:majorUnit val="6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04ea1b-09ae-4fe3-ba2b-6cc1cc8050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800"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en-US"/>
              <a:t>QCJG04 AL-10</a:t>
            </a:r>
            <a:r>
              <a:rPr lang="zh-CN"/>
              <a:t>线 组装产出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963335640456499"/>
          <c:y val="0.10228374582693001"/>
          <c:w val="0.87760138949516597"/>
          <c:h val="0.59082822724617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'QCJG04-AL10线-V1'!$P$8</c:f>
              <c:strCache>
                <c:ptCount val="1"/>
                <c:pt idx="0">
                  <c:v>工序产出(Pcs/H)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'QCJG04-AL10线-V1'!$D$9:$D$24</c:f>
              <c:strCache>
                <c:ptCount val="16"/>
                <c:pt idx="0">
                  <c:v>屏外观检查&amp;撕3M胶</c:v>
                </c:pt>
                <c:pt idx="1">
                  <c:v>组装PCBA</c:v>
                </c:pt>
                <c:pt idx="2">
                  <c:v>贴醋酸胶布</c:v>
                </c:pt>
                <c:pt idx="3">
                  <c:v>锁支架螺丝</c:v>
                </c:pt>
                <c:pt idx="4">
                  <c:v>安装后壳</c:v>
                </c:pt>
                <c:pt idx="5">
                  <c:v>等离子清洁</c:v>
                </c:pt>
                <c:pt idx="6">
                  <c:v>自动点胶</c:v>
                </c:pt>
                <c:pt idx="7">
                  <c:v>胶路检测</c:v>
                </c:pt>
                <c:pt idx="8">
                  <c:v>自动贴屏</c:v>
                </c:pt>
                <c:pt idx="9">
                  <c:v>自动保压</c:v>
                </c:pt>
                <c:pt idx="10">
                  <c:v>外观检查</c:v>
                </c:pt>
                <c:pt idx="11">
                  <c:v>锁后壳螺丝1</c:v>
                </c:pt>
                <c:pt idx="12">
                  <c:v>锁后壳螺丝2</c:v>
                </c:pt>
                <c:pt idx="13">
                  <c:v>成品下料</c:v>
                </c:pt>
                <c:pt idx="14">
                  <c:v>老化</c:v>
                </c:pt>
                <c:pt idx="15">
                  <c:v>ATE测试</c:v>
                </c:pt>
              </c:strCache>
            </c:strRef>
          </c:cat>
          <c:val>
            <c:numRef>
              <c:f>'QCJG04-AL10线-V1'!$P$9:$P$24</c:f>
              <c:numCache>
                <c:formatCode>General</c:formatCode>
                <c:ptCount val="16"/>
                <c:pt idx="0">
                  <c:v>96</c:v>
                </c:pt>
                <c:pt idx="1">
                  <c:v>69</c:v>
                </c:pt>
                <c:pt idx="2">
                  <c:v>93</c:v>
                </c:pt>
                <c:pt idx="3">
                  <c:v>61</c:v>
                </c:pt>
                <c:pt idx="4">
                  <c:v>74</c:v>
                </c:pt>
                <c:pt idx="5">
                  <c:v>94</c:v>
                </c:pt>
                <c:pt idx="6">
                  <c:v>73</c:v>
                </c:pt>
                <c:pt idx="7">
                  <c:v>66</c:v>
                </c:pt>
                <c:pt idx="8">
                  <c:v>97</c:v>
                </c:pt>
                <c:pt idx="9">
                  <c:v>63</c:v>
                </c:pt>
                <c:pt idx="10">
                  <c:v>127</c:v>
                </c:pt>
                <c:pt idx="11">
                  <c:v>86</c:v>
                </c:pt>
                <c:pt idx="12">
                  <c:v>86</c:v>
                </c:pt>
                <c:pt idx="13">
                  <c:v>99</c:v>
                </c:pt>
                <c:pt idx="14">
                  <c:v>89</c:v>
                </c:pt>
                <c:pt idx="15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7-4DCC-A394-6761BE4645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0"/>
        <c:axId val="1143086207"/>
        <c:axId val="1143079135"/>
      </c:barChart>
      <c:lineChart>
        <c:grouping val="standard"/>
        <c:varyColors val="0"/>
        <c:ser>
          <c:idx val="1"/>
          <c:order val="1"/>
          <c:tx>
            <c:v>目标产出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7-4DCC-A394-6761BE464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086207"/>
        <c:axId val="1143079135"/>
      </c:lineChart>
      <c:catAx>
        <c:axId val="114308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143079135"/>
        <c:crosses val="autoZero"/>
        <c:auto val="1"/>
        <c:lblAlgn val="ctr"/>
        <c:lblOffset val="100"/>
        <c:noMultiLvlLbl val="0"/>
      </c:catAx>
      <c:valAx>
        <c:axId val="1143079135"/>
        <c:scaling>
          <c:orientation val="minMax"/>
          <c:min val="20"/>
        </c:scaling>
        <c:delete val="0"/>
        <c:axPos val="l"/>
        <c:majorGridlines>
          <c:spPr>
            <a:ln w="285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143086207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998d90-920d-41a8-8579-281aee34c188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386510</xdr:colOff>
      <xdr:row>1</xdr:row>
      <xdr:rowOff>34388</xdr:rowOff>
    </xdr:from>
    <xdr:to>
      <xdr:col>31</xdr:col>
      <xdr:colOff>80391</xdr:colOff>
      <xdr:row>21</xdr:row>
      <xdr:rowOff>173590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D64F938-D6AC-4227-B153-7CD7AA89F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314015</xdr:colOff>
      <xdr:row>41</xdr:row>
      <xdr:rowOff>27878</xdr:rowOff>
    </xdr:from>
    <xdr:to>
      <xdr:col>9</xdr:col>
      <xdr:colOff>450678</xdr:colOff>
      <xdr:row>72</xdr:row>
      <xdr:rowOff>167388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114610</xdr:colOff>
      <xdr:row>40</xdr:row>
      <xdr:rowOff>197856</xdr:rowOff>
    </xdr:from>
    <xdr:to>
      <xdr:col>22</xdr:col>
      <xdr:colOff>538369</xdr:colOff>
      <xdr:row>73</xdr:row>
      <xdr:rowOff>2021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anose="00000000000000000000"/>
        <a:ea typeface=""/>
        <a:cs typeface=""/>
        <a:font script="Viet" typeface="Times New Roman"/>
        <a:font script="Tibt" typeface="Microsoft Himalaya"/>
        <a:font script="Laoo" typeface="DokChampa"/>
        <a:font script="Geor" typeface="Sylfaen"/>
        <a:font script="Sinh" typeface="Iskoola Pota"/>
        <a:font script="Hebr" typeface="Times New Roman"/>
        <a:font script="Cher" typeface="Plantagenet Cherokee"/>
        <a:font script="Mlym" typeface="Kartika"/>
        <a:font script="Hang" typeface="맑은 고딕"/>
        <a:font script="Mong" typeface="Mongolian Baiti"/>
        <a:font script="Telu" typeface="Gautami"/>
        <a:font script="Deva" typeface="Mangal"/>
        <a:font script="Orya" typeface="Kalinga"/>
        <a:font script="Cans" typeface="Euphemia"/>
        <a:font script="Khmr" typeface="MoolBoran"/>
        <a:font script="Syrc" typeface="Estrangelo Edessa"/>
        <a:font script="Gujr" typeface="Shruti"/>
        <a:font script="Thai" typeface="Tahoma"/>
        <a:font script="Uigh" typeface="Microsoft Uighur"/>
        <a:font script="Beng" typeface="Vrinda"/>
        <a:font script="Hans" typeface="宋体"/>
        <a:font script="Guru" typeface="Raavi"/>
        <a:font script="Yiii" typeface="Microsoft Yi Baiti"/>
        <a:font script="Jpan" typeface="ＭＳ Ｐゴシック"/>
        <a:font script="Thaa" typeface="MV Boli"/>
        <a:font script="Ethi" typeface="Nyala"/>
        <a:font script="Taml" typeface="Latha"/>
        <a:font script="Knda" typeface="Tunga"/>
        <a:font script="Arab" typeface="Times New Roman"/>
        <a:font script="Hant" typeface="新細明體"/>
      </a:majorFont>
      <a:minorFont>
        <a:latin typeface="Calibri" panose="00000000000000000000"/>
        <a:ea typeface=""/>
        <a:cs typeface=""/>
        <a:font script="Viet" typeface="Arial"/>
        <a:font script="Tibt" typeface="Microsoft Himalaya"/>
        <a:font script="Laoo" typeface="DokChampa"/>
        <a:font script="Geor" typeface="Sylfaen"/>
        <a:font script="Sinh" typeface="Iskoola Pota"/>
        <a:font script="Hebr" typeface="Arial"/>
        <a:font script="Cher" typeface="Plantagenet Cherokee"/>
        <a:font script="Mlym" typeface="Kartika"/>
        <a:font script="Hang" typeface="맑은 고딕"/>
        <a:font script="Mong" typeface="Mongolian Baiti"/>
        <a:font script="Telu" typeface="Gautami"/>
        <a:font script="Deva" typeface="Mangal"/>
        <a:font script="Orya" typeface="Kalinga"/>
        <a:font script="Cans" typeface="Euphemia"/>
        <a:font script="Khmr" typeface="DaunPenh"/>
        <a:font script="Syrc" typeface="Estrangelo Edessa"/>
        <a:font script="Gujr" typeface="Shruti"/>
        <a:font script="Thai" typeface="Tahoma"/>
        <a:font script="Uigh" typeface="Microsoft Uighur"/>
        <a:font script="Beng" typeface="Vrinda"/>
        <a:font script="Hans" typeface="宋体"/>
        <a:font script="Guru" typeface="Raavi"/>
        <a:font script="Yiii" typeface="Microsoft Yi Baiti"/>
        <a:font script="Jpan" typeface="ＭＳ Ｐゴシック"/>
        <a:font script="Thaa" typeface="MV Boli"/>
        <a:font script="Ethi" typeface="Nyala"/>
        <a:font script="Taml" typeface="Latha"/>
        <a:font script="Knda" typeface="Tunga"/>
        <a:font script="Arab" typeface="Arial"/>
        <a:font script="Hant" typeface="新細明體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7A39-D224-4B1D-84A7-105F507C13CA}">
  <dimension ref="A1:S22"/>
  <sheetViews>
    <sheetView tabSelected="1" topLeftCell="B1" zoomScaleNormal="100" workbookViewId="0">
      <selection activeCell="J29" sqref="J29"/>
    </sheetView>
  </sheetViews>
  <sheetFormatPr defaultRowHeight="14.4" x14ac:dyDescent="0.25"/>
  <cols>
    <col min="1" max="1" width="10.21875" bestFit="1" customWidth="1"/>
    <col min="2" max="2" width="9.21875" bestFit="1" customWidth="1"/>
    <col min="3" max="3" width="6" bestFit="1" customWidth="1"/>
    <col min="4" max="4" width="13.109375" bestFit="1" customWidth="1"/>
    <col min="7" max="9" width="8.6640625" bestFit="1" customWidth="1"/>
    <col min="10" max="10" width="10.44140625" bestFit="1" customWidth="1"/>
    <col min="11" max="11" width="8.21875" bestFit="1" customWidth="1"/>
    <col min="12" max="15" width="10.44140625" bestFit="1" customWidth="1"/>
    <col min="16" max="16" width="18.88671875" bestFit="1" customWidth="1"/>
    <col min="17" max="17" width="8.6640625" bestFit="1" customWidth="1"/>
    <col min="18" max="18" width="18.88671875" bestFit="1" customWidth="1"/>
    <col min="19" max="19" width="14" bestFit="1" customWidth="1"/>
  </cols>
  <sheetData>
    <row r="1" spans="1:19" ht="17.39999999999999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28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</row>
    <row r="2" spans="1:19" ht="15.6" x14ac:dyDescent="0.25">
      <c r="A2" s="38" t="s">
        <v>69</v>
      </c>
      <c r="B2" s="43" t="s">
        <v>29</v>
      </c>
      <c r="C2" s="27">
        <v>1</v>
      </c>
      <c r="D2" s="33" t="s">
        <v>56</v>
      </c>
      <c r="E2" s="37">
        <v>57.62</v>
      </c>
      <c r="F2" s="37">
        <v>59.43</v>
      </c>
      <c r="G2" s="37">
        <v>56.34</v>
      </c>
      <c r="H2" s="37">
        <v>58.11</v>
      </c>
      <c r="I2" s="37">
        <v>54.36</v>
      </c>
      <c r="J2" s="19">
        <f>AVERAGE(E2:I2)</f>
        <v>57.172000000000004</v>
      </c>
      <c r="K2" s="27">
        <v>0.1</v>
      </c>
      <c r="L2" s="9">
        <f>J2*(1+K2)</f>
        <v>62.88920000000001</v>
      </c>
      <c r="M2" s="32">
        <v>1</v>
      </c>
      <c r="N2" s="27">
        <v>1</v>
      </c>
      <c r="O2" s="9">
        <f>L2/N2</f>
        <v>62.88920000000001</v>
      </c>
      <c r="P2" s="11">
        <f>ROUNDDOWN(3600/O2,0)</f>
        <v>57</v>
      </c>
      <c r="Q2" s="46">
        <f>SUM(O2:O18)/(MAX(O2:O18)*COUNT(M2:M18))</f>
        <v>0.74690507761596658</v>
      </c>
      <c r="R2" s="13">
        <v>60</v>
      </c>
      <c r="S2" s="43">
        <f>MIN(P2:P18)</f>
        <v>52</v>
      </c>
    </row>
    <row r="3" spans="1:19" ht="15.6" x14ac:dyDescent="0.25">
      <c r="A3" s="39"/>
      <c r="B3" s="41"/>
      <c r="C3" s="27">
        <v>2</v>
      </c>
      <c r="D3" s="30" t="s">
        <v>57</v>
      </c>
      <c r="E3" s="34">
        <v>44.84</v>
      </c>
      <c r="F3" s="34">
        <v>45.34</v>
      </c>
      <c r="G3" s="34">
        <v>45.84</v>
      </c>
      <c r="H3" s="34">
        <v>44.29</v>
      </c>
      <c r="I3" s="34">
        <v>46.84</v>
      </c>
      <c r="J3" s="19">
        <f t="shared" ref="J3:J22" si="0">AVERAGE(E3:I3)</f>
        <v>45.43</v>
      </c>
      <c r="K3" s="29">
        <v>0.1</v>
      </c>
      <c r="L3" s="9">
        <f t="shared" ref="L3:L22" si="1">J3*(1+K3)</f>
        <v>49.973000000000006</v>
      </c>
      <c r="M3" s="35">
        <v>0</v>
      </c>
      <c r="N3" s="27">
        <v>1</v>
      </c>
      <c r="O3" s="9">
        <f t="shared" ref="O3:O18" si="2">L3/N3</f>
        <v>49.973000000000006</v>
      </c>
      <c r="P3" s="11">
        <f t="shared" ref="P3:P22" si="3">ROUNDDOWN(3600/O3,0)</f>
        <v>72</v>
      </c>
      <c r="Q3" s="44"/>
      <c r="R3" s="13">
        <v>60</v>
      </c>
      <c r="S3" s="41"/>
    </row>
    <row r="4" spans="1:19" ht="15.6" x14ac:dyDescent="0.25">
      <c r="A4" s="39"/>
      <c r="B4" s="41"/>
      <c r="C4" s="27">
        <v>3</v>
      </c>
      <c r="D4" s="33" t="s">
        <v>58</v>
      </c>
      <c r="E4" s="34">
        <v>37.799999999999997</v>
      </c>
      <c r="F4" s="34">
        <v>36.36</v>
      </c>
      <c r="G4" s="34">
        <v>39.51</v>
      </c>
      <c r="H4" s="34">
        <v>35.950000000000003</v>
      </c>
      <c r="I4" s="34">
        <v>39.15</v>
      </c>
      <c r="J4" s="19">
        <f t="shared" si="0"/>
        <v>37.754000000000005</v>
      </c>
      <c r="K4" s="29">
        <v>0.1</v>
      </c>
      <c r="L4" s="9">
        <f t="shared" si="1"/>
        <v>41.52940000000001</v>
      </c>
      <c r="M4" s="32">
        <v>1</v>
      </c>
      <c r="N4" s="27">
        <v>1</v>
      </c>
      <c r="O4" s="9">
        <f t="shared" si="2"/>
        <v>41.52940000000001</v>
      </c>
      <c r="P4" s="11">
        <f t="shared" si="3"/>
        <v>86</v>
      </c>
      <c r="Q4" s="44"/>
      <c r="R4" s="13">
        <v>60</v>
      </c>
      <c r="S4" s="41"/>
    </row>
    <row r="5" spans="1:19" ht="15.6" x14ac:dyDescent="0.25">
      <c r="A5" s="39"/>
      <c r="B5" s="41"/>
      <c r="C5" s="27">
        <v>4</v>
      </c>
      <c r="D5" s="30" t="s">
        <v>35</v>
      </c>
      <c r="E5" s="34">
        <v>45.1</v>
      </c>
      <c r="F5" s="34">
        <v>48.32</v>
      </c>
      <c r="G5" s="34">
        <v>47.54</v>
      </c>
      <c r="H5" s="34">
        <v>46.95</v>
      </c>
      <c r="I5" s="34">
        <v>46.32</v>
      </c>
      <c r="J5" s="19">
        <f t="shared" si="0"/>
        <v>46.846000000000004</v>
      </c>
      <c r="K5" s="29">
        <v>0.1</v>
      </c>
      <c r="L5" s="9">
        <f t="shared" si="1"/>
        <v>51.530600000000007</v>
      </c>
      <c r="M5" s="35">
        <v>0</v>
      </c>
      <c r="N5" s="27">
        <v>1</v>
      </c>
      <c r="O5" s="9">
        <f t="shared" si="2"/>
        <v>51.530600000000007</v>
      </c>
      <c r="P5" s="11">
        <f t="shared" si="3"/>
        <v>69</v>
      </c>
      <c r="Q5" s="44"/>
      <c r="R5" s="13">
        <v>60</v>
      </c>
      <c r="S5" s="41"/>
    </row>
    <row r="6" spans="1:19" ht="15.6" x14ac:dyDescent="0.25">
      <c r="A6" s="39"/>
      <c r="B6" s="41"/>
      <c r="C6" s="27">
        <v>5</v>
      </c>
      <c r="D6" s="30" t="s">
        <v>36</v>
      </c>
      <c r="E6" s="34">
        <v>44.83</v>
      </c>
      <c r="F6" s="34">
        <v>45.21</v>
      </c>
      <c r="G6" s="34">
        <v>47.64</v>
      </c>
      <c r="H6" s="34">
        <v>44.69</v>
      </c>
      <c r="I6" s="34">
        <v>46.46</v>
      </c>
      <c r="J6" s="19">
        <f t="shared" si="0"/>
        <v>45.766000000000005</v>
      </c>
      <c r="K6" s="29">
        <v>0.1</v>
      </c>
      <c r="L6" s="9">
        <f t="shared" si="1"/>
        <v>50.342600000000012</v>
      </c>
      <c r="M6" s="35">
        <v>0</v>
      </c>
      <c r="N6" s="27">
        <v>1</v>
      </c>
      <c r="O6" s="9">
        <f t="shared" si="2"/>
        <v>50.342600000000012</v>
      </c>
      <c r="P6" s="11">
        <f t="shared" si="3"/>
        <v>71</v>
      </c>
      <c r="Q6" s="44"/>
      <c r="R6" s="13">
        <v>60</v>
      </c>
      <c r="S6" s="41"/>
    </row>
    <row r="7" spans="1:19" ht="15.6" x14ac:dyDescent="0.25">
      <c r="A7" s="39"/>
      <c r="B7" s="41"/>
      <c r="C7" s="27">
        <v>6</v>
      </c>
      <c r="D7" s="30" t="s">
        <v>37</v>
      </c>
      <c r="E7" s="34">
        <v>36.44</v>
      </c>
      <c r="F7" s="34">
        <v>39.33</v>
      </c>
      <c r="G7" s="34">
        <v>39.65</v>
      </c>
      <c r="H7" s="34">
        <v>38.15</v>
      </c>
      <c r="I7" s="34">
        <v>37.5</v>
      </c>
      <c r="J7" s="19">
        <f t="shared" si="0"/>
        <v>38.213999999999999</v>
      </c>
      <c r="K7" s="29">
        <v>0.1</v>
      </c>
      <c r="L7" s="9">
        <f t="shared" si="1"/>
        <v>42.035400000000003</v>
      </c>
      <c r="M7" s="35">
        <v>0</v>
      </c>
      <c r="N7" s="27">
        <v>1</v>
      </c>
      <c r="O7" s="9">
        <f t="shared" si="2"/>
        <v>42.035400000000003</v>
      </c>
      <c r="P7" s="11">
        <f t="shared" si="3"/>
        <v>85</v>
      </c>
      <c r="Q7" s="44"/>
      <c r="R7" s="13">
        <v>60</v>
      </c>
      <c r="S7" s="41"/>
    </row>
    <row r="8" spans="1:19" ht="15.6" x14ac:dyDescent="0.25">
      <c r="A8" s="39"/>
      <c r="B8" s="41"/>
      <c r="C8" s="27">
        <v>7</v>
      </c>
      <c r="D8" s="30" t="s">
        <v>59</v>
      </c>
      <c r="E8" s="34">
        <v>36.729999999999997</v>
      </c>
      <c r="F8" s="34">
        <v>38.909999999999997</v>
      </c>
      <c r="G8" s="34">
        <v>39.51</v>
      </c>
      <c r="H8" s="34">
        <v>33.92</v>
      </c>
      <c r="I8" s="34">
        <v>36.15</v>
      </c>
      <c r="J8" s="19">
        <f t="shared" si="0"/>
        <v>37.043999999999997</v>
      </c>
      <c r="K8" s="29">
        <v>0.1</v>
      </c>
      <c r="L8" s="9">
        <f t="shared" si="1"/>
        <v>40.748399999999997</v>
      </c>
      <c r="M8" s="35">
        <v>0</v>
      </c>
      <c r="N8" s="27">
        <v>1</v>
      </c>
      <c r="O8" s="9">
        <f t="shared" si="2"/>
        <v>40.748399999999997</v>
      </c>
      <c r="P8" s="11">
        <f t="shared" si="3"/>
        <v>88</v>
      </c>
      <c r="Q8" s="44"/>
      <c r="R8" s="13">
        <v>60</v>
      </c>
      <c r="S8" s="41"/>
    </row>
    <row r="9" spans="1:19" ht="15.6" x14ac:dyDescent="0.25">
      <c r="A9" s="39"/>
      <c r="B9" s="41"/>
      <c r="C9" s="27">
        <v>8</v>
      </c>
      <c r="D9" s="30" t="s">
        <v>39</v>
      </c>
      <c r="E9" s="34">
        <v>43.59</v>
      </c>
      <c r="F9" s="34">
        <v>44.59</v>
      </c>
      <c r="G9" s="34">
        <v>44.56</v>
      </c>
      <c r="H9" s="34">
        <v>46.59</v>
      </c>
      <c r="I9" s="34">
        <v>45.91</v>
      </c>
      <c r="J9" s="19">
        <f t="shared" si="0"/>
        <v>45.048000000000002</v>
      </c>
      <c r="K9" s="29">
        <v>0.1</v>
      </c>
      <c r="L9" s="9">
        <f t="shared" si="1"/>
        <v>49.552800000000005</v>
      </c>
      <c r="M9" s="35">
        <v>0</v>
      </c>
      <c r="N9" s="27">
        <v>1</v>
      </c>
      <c r="O9" s="9">
        <f t="shared" si="2"/>
        <v>49.552800000000005</v>
      </c>
      <c r="P9" s="11">
        <f t="shared" si="3"/>
        <v>72</v>
      </c>
      <c r="Q9" s="44"/>
      <c r="R9" s="13">
        <v>60</v>
      </c>
      <c r="S9" s="41"/>
    </row>
    <row r="10" spans="1:19" ht="15.6" x14ac:dyDescent="0.25">
      <c r="A10" s="39"/>
      <c r="B10" s="41"/>
      <c r="C10" s="27">
        <v>9</v>
      </c>
      <c r="D10" s="33" t="s">
        <v>60</v>
      </c>
      <c r="E10" s="34">
        <v>1560</v>
      </c>
      <c r="F10" s="34">
        <v>1560</v>
      </c>
      <c r="G10" s="34">
        <v>1560</v>
      </c>
      <c r="H10" s="34">
        <v>1560</v>
      </c>
      <c r="I10" s="34">
        <v>1560</v>
      </c>
      <c r="J10" s="19">
        <f t="shared" si="0"/>
        <v>1560</v>
      </c>
      <c r="K10" s="29">
        <v>0.1</v>
      </c>
      <c r="L10" s="9">
        <f t="shared" si="1"/>
        <v>1716.0000000000002</v>
      </c>
      <c r="M10" s="36">
        <v>1</v>
      </c>
      <c r="N10" s="27">
        <v>32</v>
      </c>
      <c r="O10" s="9">
        <f t="shared" si="2"/>
        <v>53.625000000000007</v>
      </c>
      <c r="P10" s="11">
        <f t="shared" si="3"/>
        <v>67</v>
      </c>
      <c r="Q10" s="44"/>
      <c r="R10" s="13">
        <v>60</v>
      </c>
      <c r="S10" s="41"/>
    </row>
    <row r="11" spans="1:19" ht="15.6" x14ac:dyDescent="0.25">
      <c r="A11" s="39"/>
      <c r="B11" s="41"/>
      <c r="C11" s="27">
        <v>10</v>
      </c>
      <c r="D11" s="33" t="s">
        <v>61</v>
      </c>
      <c r="E11" s="34">
        <v>34.39</v>
      </c>
      <c r="F11" s="34">
        <v>31.96</v>
      </c>
      <c r="G11" s="34">
        <v>36.31</v>
      </c>
      <c r="H11" s="34">
        <v>34.049999999999997</v>
      </c>
      <c r="I11" s="34">
        <v>38.15</v>
      </c>
      <c r="J11" s="19">
        <f t="shared" si="0"/>
        <v>34.971999999999994</v>
      </c>
      <c r="K11" s="29">
        <v>0.1</v>
      </c>
      <c r="L11" s="9">
        <f t="shared" si="1"/>
        <v>38.469199999999994</v>
      </c>
      <c r="M11" s="32">
        <v>1</v>
      </c>
      <c r="N11" s="27">
        <v>1</v>
      </c>
      <c r="O11" s="9">
        <f t="shared" si="2"/>
        <v>38.469199999999994</v>
      </c>
      <c r="P11" s="11">
        <f t="shared" si="3"/>
        <v>93</v>
      </c>
      <c r="Q11" s="44"/>
      <c r="R11" s="13">
        <v>60</v>
      </c>
      <c r="S11" s="41"/>
    </row>
    <row r="12" spans="1:19" ht="15.6" x14ac:dyDescent="0.25">
      <c r="A12" s="39"/>
      <c r="B12" s="41"/>
      <c r="C12" s="27">
        <v>11</v>
      </c>
      <c r="D12" s="30" t="s">
        <v>62</v>
      </c>
      <c r="E12" s="34">
        <v>47.52</v>
      </c>
      <c r="F12" s="34">
        <v>47.11</v>
      </c>
      <c r="G12" s="34">
        <v>47.49</v>
      </c>
      <c r="H12" s="34">
        <v>48.31</v>
      </c>
      <c r="I12" s="34">
        <v>48.15</v>
      </c>
      <c r="J12" s="19">
        <f t="shared" si="0"/>
        <v>47.716000000000001</v>
      </c>
      <c r="K12" s="29">
        <v>0.1</v>
      </c>
      <c r="L12" s="9">
        <f t="shared" si="1"/>
        <v>52.487600000000008</v>
      </c>
      <c r="M12" s="35">
        <v>0</v>
      </c>
      <c r="N12" s="27">
        <v>1</v>
      </c>
      <c r="O12" s="9">
        <f t="shared" si="2"/>
        <v>52.487600000000008</v>
      </c>
      <c r="P12" s="11">
        <f t="shared" si="3"/>
        <v>68</v>
      </c>
      <c r="Q12" s="44"/>
      <c r="R12" s="13">
        <v>60</v>
      </c>
      <c r="S12" s="41"/>
    </row>
    <row r="13" spans="1:19" ht="15.6" x14ac:dyDescent="0.25">
      <c r="A13" s="39"/>
      <c r="B13" s="41"/>
      <c r="C13" s="27">
        <v>12</v>
      </c>
      <c r="D13" s="33" t="s">
        <v>31</v>
      </c>
      <c r="E13" s="34">
        <v>41.42</v>
      </c>
      <c r="F13" s="34">
        <v>51.11</v>
      </c>
      <c r="G13" s="34">
        <v>47.44</v>
      </c>
      <c r="H13" s="34">
        <v>48.11</v>
      </c>
      <c r="I13" s="34">
        <v>49.01</v>
      </c>
      <c r="J13" s="19">
        <f t="shared" si="0"/>
        <v>47.417999999999992</v>
      </c>
      <c r="K13" s="29">
        <v>0.1</v>
      </c>
      <c r="L13" s="9">
        <f t="shared" si="1"/>
        <v>52.159799999999997</v>
      </c>
      <c r="M13" s="32">
        <v>1</v>
      </c>
      <c r="N13" s="27">
        <v>1</v>
      </c>
      <c r="O13" s="9">
        <f t="shared" si="2"/>
        <v>52.159799999999997</v>
      </c>
      <c r="P13" s="11">
        <f t="shared" si="3"/>
        <v>69</v>
      </c>
      <c r="Q13" s="44"/>
      <c r="R13" s="13">
        <v>60</v>
      </c>
      <c r="S13" s="41"/>
    </row>
    <row r="14" spans="1:19" ht="15.6" x14ac:dyDescent="0.25">
      <c r="A14" s="39"/>
      <c r="B14" s="41"/>
      <c r="C14" s="27">
        <v>13</v>
      </c>
      <c r="D14" s="30" t="s">
        <v>63</v>
      </c>
      <c r="E14" s="34">
        <v>54.52</v>
      </c>
      <c r="F14" s="34">
        <v>52.34</v>
      </c>
      <c r="G14" s="34">
        <v>53.65</v>
      </c>
      <c r="H14" s="34">
        <v>55.65</v>
      </c>
      <c r="I14" s="34">
        <v>54.11</v>
      </c>
      <c r="J14" s="19">
        <f t="shared" si="0"/>
        <v>54.054000000000009</v>
      </c>
      <c r="K14" s="29">
        <v>0.1</v>
      </c>
      <c r="L14" s="9">
        <f t="shared" si="1"/>
        <v>59.459400000000016</v>
      </c>
      <c r="M14" s="35">
        <v>0</v>
      </c>
      <c r="N14" s="27">
        <v>1</v>
      </c>
      <c r="O14" s="9">
        <f t="shared" si="2"/>
        <v>59.459400000000016</v>
      </c>
      <c r="P14" s="11">
        <f t="shared" si="3"/>
        <v>60</v>
      </c>
      <c r="Q14" s="44"/>
      <c r="R14" s="13">
        <v>60</v>
      </c>
      <c r="S14" s="41"/>
    </row>
    <row r="15" spans="1:19" ht="15.6" x14ac:dyDescent="0.25">
      <c r="A15" s="39"/>
      <c r="B15" s="41"/>
      <c r="C15" s="27">
        <v>14</v>
      </c>
      <c r="D15" s="33" t="s">
        <v>64</v>
      </c>
      <c r="E15" s="34">
        <v>40.479999999999997</v>
      </c>
      <c r="F15" s="34">
        <v>34.61</v>
      </c>
      <c r="G15" s="34">
        <v>38.15</v>
      </c>
      <c r="H15" s="34">
        <v>35.89</v>
      </c>
      <c r="I15" s="34">
        <v>34.15</v>
      </c>
      <c r="J15" s="19">
        <f t="shared" si="0"/>
        <v>36.655999999999999</v>
      </c>
      <c r="K15" s="29">
        <v>0.1</v>
      </c>
      <c r="L15" s="9">
        <f t="shared" si="1"/>
        <v>40.321600000000004</v>
      </c>
      <c r="M15" s="32">
        <v>1</v>
      </c>
      <c r="N15" s="27">
        <v>1</v>
      </c>
      <c r="O15" s="9">
        <f t="shared" si="2"/>
        <v>40.321600000000004</v>
      </c>
      <c r="P15" s="11">
        <f t="shared" si="3"/>
        <v>89</v>
      </c>
      <c r="Q15" s="44"/>
      <c r="R15" s="13">
        <v>60</v>
      </c>
      <c r="S15" s="41"/>
    </row>
    <row r="16" spans="1:19" ht="15.6" x14ac:dyDescent="0.25">
      <c r="A16" s="39"/>
      <c r="B16" s="41"/>
      <c r="C16" s="31">
        <v>15</v>
      </c>
      <c r="D16" s="30" t="s">
        <v>65</v>
      </c>
      <c r="E16" s="34">
        <v>48.51</v>
      </c>
      <c r="F16" s="34">
        <v>50.88</v>
      </c>
      <c r="G16" s="34">
        <v>49.65</v>
      </c>
      <c r="H16" s="34">
        <v>50.24</v>
      </c>
      <c r="I16" s="34">
        <v>48.95</v>
      </c>
      <c r="J16" s="19">
        <f t="shared" si="0"/>
        <v>49.646000000000001</v>
      </c>
      <c r="K16" s="29">
        <v>0.1</v>
      </c>
      <c r="L16" s="9">
        <f t="shared" si="1"/>
        <v>54.610600000000005</v>
      </c>
      <c r="M16" s="35">
        <v>0</v>
      </c>
      <c r="N16" s="27">
        <v>1</v>
      </c>
      <c r="O16" s="9">
        <f t="shared" si="2"/>
        <v>54.610600000000005</v>
      </c>
      <c r="P16" s="11">
        <f t="shared" si="3"/>
        <v>65</v>
      </c>
      <c r="Q16" s="44"/>
      <c r="R16" s="13">
        <v>60</v>
      </c>
      <c r="S16" s="41"/>
    </row>
    <row r="17" spans="1:19" ht="15.6" x14ac:dyDescent="0.25">
      <c r="A17" s="39"/>
      <c r="B17" s="41"/>
      <c r="C17" s="31">
        <v>16</v>
      </c>
      <c r="D17" s="33" t="s">
        <v>40</v>
      </c>
      <c r="E17" s="34">
        <v>59.88</v>
      </c>
      <c r="F17" s="34">
        <v>52.87</v>
      </c>
      <c r="G17" s="34">
        <v>65.95</v>
      </c>
      <c r="H17" s="34">
        <v>63.88</v>
      </c>
      <c r="I17" s="34">
        <v>66.180000000000007</v>
      </c>
      <c r="J17" s="19">
        <f t="shared" si="0"/>
        <v>61.751999999999995</v>
      </c>
      <c r="K17" s="29">
        <v>0.1</v>
      </c>
      <c r="L17" s="9">
        <f t="shared" si="1"/>
        <v>67.927199999999999</v>
      </c>
      <c r="M17" s="32">
        <v>1</v>
      </c>
      <c r="N17" s="27">
        <v>1</v>
      </c>
      <c r="O17" s="9">
        <f t="shared" si="2"/>
        <v>67.927199999999999</v>
      </c>
      <c r="P17" s="11">
        <f t="shared" si="3"/>
        <v>52</v>
      </c>
      <c r="Q17" s="44"/>
      <c r="R17" s="13">
        <v>60</v>
      </c>
      <c r="S17" s="41"/>
    </row>
    <row r="18" spans="1:19" ht="15.6" x14ac:dyDescent="0.25">
      <c r="A18" s="39"/>
      <c r="B18" s="42"/>
      <c r="C18" s="31">
        <v>17</v>
      </c>
      <c r="D18" s="33" t="s">
        <v>66</v>
      </c>
      <c r="E18" s="30">
        <v>102.85</v>
      </c>
      <c r="F18" s="30">
        <v>101.58</v>
      </c>
      <c r="G18" s="30">
        <v>98.55</v>
      </c>
      <c r="H18" s="30">
        <v>95.65</v>
      </c>
      <c r="I18" s="30">
        <v>99.88</v>
      </c>
      <c r="J18" s="19">
        <f t="shared" si="0"/>
        <v>99.701999999999998</v>
      </c>
      <c r="K18" s="29">
        <v>0.1</v>
      </c>
      <c r="L18" s="9">
        <f t="shared" si="1"/>
        <v>109.6722</v>
      </c>
      <c r="M18" s="32">
        <v>1</v>
      </c>
      <c r="N18" s="27">
        <v>2</v>
      </c>
      <c r="O18" s="9">
        <f t="shared" si="2"/>
        <v>54.836100000000002</v>
      </c>
      <c r="P18" s="11">
        <f t="shared" si="3"/>
        <v>65</v>
      </c>
      <c r="Q18" s="44"/>
      <c r="R18" s="13">
        <v>60</v>
      </c>
      <c r="S18" s="41"/>
    </row>
    <row r="19" spans="1:19" ht="15.6" x14ac:dyDescent="0.25">
      <c r="A19" s="39"/>
      <c r="B19" s="27" t="s">
        <v>44</v>
      </c>
      <c r="C19" s="27">
        <v>1</v>
      </c>
      <c r="D19" s="30" t="s">
        <v>44</v>
      </c>
      <c r="E19" s="34">
        <v>3660</v>
      </c>
      <c r="F19" s="34">
        <v>3660</v>
      </c>
      <c r="G19" s="34">
        <v>3660</v>
      </c>
      <c r="H19" s="34">
        <v>3660</v>
      </c>
      <c r="I19" s="34">
        <v>3660</v>
      </c>
      <c r="J19" s="19">
        <f t="shared" si="0"/>
        <v>3660</v>
      </c>
      <c r="K19" s="29">
        <v>0.1</v>
      </c>
      <c r="L19" s="9">
        <f t="shared" si="1"/>
        <v>4026.0000000000005</v>
      </c>
      <c r="M19" s="32">
        <v>2</v>
      </c>
      <c r="N19" s="27">
        <v>96</v>
      </c>
      <c r="O19" s="9">
        <f t="shared" ref="O19:O22" si="4">L19/N19</f>
        <v>41.937500000000007</v>
      </c>
      <c r="P19" s="11">
        <f t="shared" si="3"/>
        <v>85</v>
      </c>
      <c r="Q19" s="44"/>
      <c r="R19" s="13">
        <v>60</v>
      </c>
      <c r="S19" s="41"/>
    </row>
    <row r="20" spans="1:19" ht="15.6" x14ac:dyDescent="0.25">
      <c r="A20" s="39"/>
      <c r="B20" s="27" t="s">
        <v>46</v>
      </c>
      <c r="C20" s="27">
        <v>1</v>
      </c>
      <c r="D20" s="30" t="s">
        <v>47</v>
      </c>
      <c r="E20" s="34">
        <v>62.77</v>
      </c>
      <c r="F20" s="34">
        <v>59.78</v>
      </c>
      <c r="G20" s="34">
        <v>77.67</v>
      </c>
      <c r="H20" s="34">
        <v>53.93</v>
      </c>
      <c r="I20" s="34">
        <v>71.31</v>
      </c>
      <c r="J20" s="19">
        <f t="shared" si="0"/>
        <v>65.092000000000013</v>
      </c>
      <c r="K20" s="29">
        <v>0.1</v>
      </c>
      <c r="L20" s="9">
        <f t="shared" si="1"/>
        <v>71.60120000000002</v>
      </c>
      <c r="M20" s="32">
        <v>1</v>
      </c>
      <c r="N20" s="27">
        <v>1</v>
      </c>
      <c r="O20" s="9">
        <f t="shared" si="4"/>
        <v>71.60120000000002</v>
      </c>
      <c r="P20" s="11">
        <f t="shared" si="3"/>
        <v>50</v>
      </c>
      <c r="Q20" s="44"/>
      <c r="R20" s="13">
        <v>60</v>
      </c>
      <c r="S20" s="41"/>
    </row>
    <row r="21" spans="1:19" ht="15.6" x14ac:dyDescent="0.25">
      <c r="A21" s="39"/>
      <c r="B21" s="43" t="s">
        <v>48</v>
      </c>
      <c r="C21" s="27">
        <v>1</v>
      </c>
      <c r="D21" s="30" t="s">
        <v>67</v>
      </c>
      <c r="E21" s="34">
        <v>39.090000000000003</v>
      </c>
      <c r="F21" s="34">
        <v>49.31</v>
      </c>
      <c r="G21" s="34">
        <v>42.51</v>
      </c>
      <c r="H21" s="34">
        <v>32.840000000000003</v>
      </c>
      <c r="I21" s="34">
        <v>45.91</v>
      </c>
      <c r="J21" s="19">
        <f t="shared" si="0"/>
        <v>41.932000000000002</v>
      </c>
      <c r="K21" s="29">
        <v>0.1</v>
      </c>
      <c r="L21" s="9">
        <f t="shared" si="1"/>
        <v>46.125200000000007</v>
      </c>
      <c r="M21" s="32">
        <v>1</v>
      </c>
      <c r="N21" s="27">
        <v>1</v>
      </c>
      <c r="O21" s="9">
        <f t="shared" si="4"/>
        <v>46.125200000000007</v>
      </c>
      <c r="P21" s="11">
        <f t="shared" si="3"/>
        <v>78</v>
      </c>
      <c r="Q21" s="44"/>
      <c r="R21" s="13"/>
      <c r="S21" s="41"/>
    </row>
    <row r="22" spans="1:19" ht="15.6" x14ac:dyDescent="0.25">
      <c r="A22" s="40"/>
      <c r="B22" s="42"/>
      <c r="C22" s="27">
        <v>2</v>
      </c>
      <c r="D22" s="30" t="s">
        <v>68</v>
      </c>
      <c r="E22" s="34">
        <v>34.51</v>
      </c>
      <c r="F22" s="34">
        <v>39.450000000000003</v>
      </c>
      <c r="G22" s="34">
        <v>34.94</v>
      </c>
      <c r="H22" s="34">
        <v>29.27</v>
      </c>
      <c r="I22" s="34">
        <v>38.15</v>
      </c>
      <c r="J22" s="19">
        <f t="shared" si="0"/>
        <v>35.264000000000003</v>
      </c>
      <c r="K22" s="29">
        <v>0.1</v>
      </c>
      <c r="L22" s="9">
        <f t="shared" si="1"/>
        <v>38.790400000000005</v>
      </c>
      <c r="M22" s="32">
        <v>1</v>
      </c>
      <c r="N22" s="27">
        <v>4</v>
      </c>
      <c r="O22" s="9">
        <f t="shared" si="4"/>
        <v>9.6976000000000013</v>
      </c>
      <c r="P22" s="11">
        <f t="shared" si="3"/>
        <v>371</v>
      </c>
      <c r="Q22" s="45"/>
      <c r="R22" s="13">
        <v>60</v>
      </c>
      <c r="S22" s="42"/>
    </row>
  </sheetData>
  <mergeCells count="7">
    <mergeCell ref="A2:A22"/>
    <mergeCell ref="S19:S22"/>
    <mergeCell ref="S2:S18"/>
    <mergeCell ref="Q19:Q22"/>
    <mergeCell ref="Q2:Q18"/>
    <mergeCell ref="B2:B18"/>
    <mergeCell ref="B21:B22"/>
  </mergeCells>
  <phoneticPr fontId="5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33"/>
  <sheetViews>
    <sheetView showGridLines="0" topLeftCell="A4" zoomScaleNormal="100" workbookViewId="0">
      <selection activeCell="W17" sqref="W17"/>
    </sheetView>
  </sheetViews>
  <sheetFormatPr defaultColWidth="9" defaultRowHeight="15.6" x14ac:dyDescent="0.25"/>
  <cols>
    <col min="1" max="1" width="10" style="1" customWidth="1"/>
    <col min="2" max="2" width="9" style="1"/>
    <col min="3" max="3" width="9" style="2"/>
    <col min="4" max="4" width="22.6640625" style="2" customWidth="1"/>
    <col min="5" max="15" width="9" style="2"/>
    <col min="16" max="16" width="17.109375" style="2" customWidth="1"/>
    <col min="17" max="17" width="10.109375" style="2" customWidth="1"/>
    <col min="18" max="18" width="17.109375" style="3" customWidth="1"/>
    <col min="19" max="19" width="14.33203125" style="1" customWidth="1"/>
    <col min="20" max="20" width="9" style="1"/>
    <col min="21" max="21" width="16.77734375" style="1" customWidth="1"/>
    <col min="22" max="22" width="19.6640625" style="1" customWidth="1"/>
    <col min="23" max="23" width="16.33203125" style="1" customWidth="1"/>
    <col min="24" max="16384" width="9" style="1"/>
  </cols>
  <sheetData>
    <row r="1" spans="1:23" ht="22.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U1" s="6" t="s">
        <v>0</v>
      </c>
      <c r="V1" s="6" t="str">
        <f>A2</f>
        <v>QCJG04</v>
      </c>
      <c r="W1" s="6" t="str">
        <f>A9</f>
        <v>QCJG04</v>
      </c>
    </row>
    <row r="2" spans="1:23" ht="24" customHeight="1" x14ac:dyDescent="0.25">
      <c r="A2" s="47" t="s">
        <v>19</v>
      </c>
      <c r="B2" s="43" t="s">
        <v>20</v>
      </c>
      <c r="C2" s="7">
        <v>1</v>
      </c>
      <c r="D2" s="7" t="s">
        <v>21</v>
      </c>
      <c r="E2" s="7">
        <v>19.02</v>
      </c>
      <c r="F2" s="7">
        <v>19.59</v>
      </c>
      <c r="G2" s="7">
        <v>20.420000000000002</v>
      </c>
      <c r="H2" s="7">
        <v>23.47</v>
      </c>
      <c r="I2" s="7">
        <v>18.59</v>
      </c>
      <c r="J2" s="9">
        <f t="shared" ref="J2:J5" si="0">AVERAGE(E2:I2)</f>
        <v>20.218</v>
      </c>
      <c r="K2" s="7">
        <v>0.1</v>
      </c>
      <c r="L2" s="9">
        <f t="shared" ref="L2:L5" si="1">J2*(1+K2)</f>
        <v>22.239799999999999</v>
      </c>
      <c r="M2" s="10">
        <v>0</v>
      </c>
      <c r="N2" s="7">
        <v>2</v>
      </c>
      <c r="O2" s="9">
        <f t="shared" ref="O2:O5" si="2">L2/N2</f>
        <v>11.119899999999999</v>
      </c>
      <c r="P2" s="11">
        <f t="shared" ref="P2:P5" si="3">ROUNDDOWN(3600/O2,0)</f>
        <v>323</v>
      </c>
      <c r="Q2" s="48">
        <f>SUM(O2:O5)/(MAX(O2:O5)*COUNT(M2:M5))</f>
        <v>0.54772473516516429</v>
      </c>
      <c r="R2" s="13">
        <v>60</v>
      </c>
      <c r="S2" s="47" t="e">
        <f>MIN(P2:P5)</f>
        <v>#DIV/0!</v>
      </c>
      <c r="U2" s="6" t="s">
        <v>22</v>
      </c>
      <c r="V2" s="6" t="str">
        <f>B2</f>
        <v>DIP</v>
      </c>
      <c r="W2" s="6" t="str">
        <f>B9</f>
        <v>组装</v>
      </c>
    </row>
    <row r="3" spans="1:23" ht="24" customHeight="1" x14ac:dyDescent="0.25">
      <c r="A3" s="47"/>
      <c r="B3" s="41"/>
      <c r="C3" s="7">
        <v>2</v>
      </c>
      <c r="D3" s="7" t="s">
        <v>23</v>
      </c>
      <c r="E3" s="7">
        <v>90.46</v>
      </c>
      <c r="F3" s="7">
        <v>87.42</v>
      </c>
      <c r="G3" s="7">
        <v>95.53</v>
      </c>
      <c r="H3" s="7">
        <v>98.12</v>
      </c>
      <c r="I3" s="7">
        <v>93.72</v>
      </c>
      <c r="J3" s="9">
        <f t="shared" si="0"/>
        <v>93.05</v>
      </c>
      <c r="K3" s="7">
        <v>0.1</v>
      </c>
      <c r="L3" s="9" t="b">
        <f>'QCQH02-AL09线'!L2=J3*(1+K3)</f>
        <v>0</v>
      </c>
      <c r="M3" s="10">
        <v>0</v>
      </c>
      <c r="N3" s="7">
        <v>2</v>
      </c>
      <c r="O3" s="9">
        <f t="shared" si="2"/>
        <v>0</v>
      </c>
      <c r="P3" s="11" t="e">
        <f t="shared" si="3"/>
        <v>#DIV/0!</v>
      </c>
      <c r="Q3" s="48"/>
      <c r="R3" s="13">
        <v>60</v>
      </c>
      <c r="S3" s="47"/>
      <c r="U3" s="6" t="s">
        <v>24</v>
      </c>
      <c r="V3" s="15">
        <f>Q2</f>
        <v>0.54772473516516429</v>
      </c>
      <c r="W3" s="15" t="e">
        <f ca="1">Q9</f>
        <v>#NAME?</v>
      </c>
    </row>
    <row r="4" spans="1:23" ht="24" customHeight="1" x14ac:dyDescent="0.25">
      <c r="A4" s="47"/>
      <c r="B4" s="41"/>
      <c r="C4" s="7">
        <v>3</v>
      </c>
      <c r="D4" s="7" t="s">
        <v>25</v>
      </c>
      <c r="E4" s="7">
        <v>72.790000000000006</v>
      </c>
      <c r="F4" s="7">
        <v>74</v>
      </c>
      <c r="G4" s="7">
        <v>73.849999999999994</v>
      </c>
      <c r="H4" s="7">
        <v>72.92</v>
      </c>
      <c r="I4" s="7">
        <v>73.650000000000006</v>
      </c>
      <c r="J4" s="9">
        <f t="shared" si="0"/>
        <v>73.441999999999993</v>
      </c>
      <c r="K4" s="7">
        <v>0.1</v>
      </c>
      <c r="L4" s="9">
        <f t="shared" si="1"/>
        <v>80.786199999999994</v>
      </c>
      <c r="M4" s="10">
        <v>0</v>
      </c>
      <c r="N4" s="7">
        <v>2</v>
      </c>
      <c r="O4" s="9">
        <f t="shared" si="2"/>
        <v>40.393099999999997</v>
      </c>
      <c r="P4" s="11">
        <f t="shared" si="3"/>
        <v>89</v>
      </c>
      <c r="Q4" s="48"/>
      <c r="R4" s="13">
        <v>60</v>
      </c>
      <c r="S4" s="47"/>
      <c r="U4" s="6" t="s">
        <v>26</v>
      </c>
      <c r="V4" s="6" t="e">
        <f>S2</f>
        <v>#DIV/0!</v>
      </c>
      <c r="W4" s="6">
        <f>S9</f>
        <v>61</v>
      </c>
    </row>
    <row r="5" spans="1:23" ht="24" customHeight="1" x14ac:dyDescent="0.25">
      <c r="A5" s="47"/>
      <c r="B5" s="42"/>
      <c r="C5" s="7">
        <v>4</v>
      </c>
      <c r="D5" s="7" t="s">
        <v>27</v>
      </c>
      <c r="E5" s="7">
        <v>64.13</v>
      </c>
      <c r="F5" s="7">
        <v>67.87</v>
      </c>
      <c r="G5" s="7">
        <v>67.81</v>
      </c>
      <c r="H5" s="7">
        <v>68.2</v>
      </c>
      <c r="I5" s="7">
        <v>68.209999999999994</v>
      </c>
      <c r="J5" s="9">
        <f t="shared" si="0"/>
        <v>67.244</v>
      </c>
      <c r="K5" s="7">
        <v>0.1</v>
      </c>
      <c r="L5" s="9">
        <f t="shared" si="1"/>
        <v>73.968400000000003</v>
      </c>
      <c r="M5" s="10">
        <v>0</v>
      </c>
      <c r="N5" s="7">
        <v>2</v>
      </c>
      <c r="O5" s="9">
        <f t="shared" si="2"/>
        <v>36.984200000000001</v>
      </c>
      <c r="P5" s="11">
        <f t="shared" si="3"/>
        <v>97</v>
      </c>
      <c r="Q5" s="48"/>
      <c r="R5" s="13">
        <v>60</v>
      </c>
      <c r="S5" s="47"/>
    </row>
    <row r="6" spans="1:23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7"/>
    </row>
    <row r="8" spans="1:23" ht="20.100000000000001" customHeight="1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28</v>
      </c>
      <c r="O8" s="4" t="s">
        <v>14</v>
      </c>
      <c r="P8" s="4" t="s">
        <v>15</v>
      </c>
      <c r="Q8" s="4" t="s">
        <v>16</v>
      </c>
      <c r="R8" s="5" t="s">
        <v>17</v>
      </c>
      <c r="S8" s="4" t="s">
        <v>18</v>
      </c>
    </row>
    <row r="9" spans="1:23" ht="24" customHeight="1" x14ac:dyDescent="0.25">
      <c r="A9" s="43" t="s">
        <v>19</v>
      </c>
      <c r="B9" s="43" t="s">
        <v>29</v>
      </c>
      <c r="C9" s="7">
        <v>1</v>
      </c>
      <c r="D9" s="18" t="s">
        <v>30</v>
      </c>
      <c r="E9" s="19">
        <v>32.81</v>
      </c>
      <c r="F9" s="19">
        <v>33.83</v>
      </c>
      <c r="G9" s="19">
        <v>34.22</v>
      </c>
      <c r="H9" s="19">
        <v>33.93</v>
      </c>
      <c r="I9" s="19">
        <v>34.11</v>
      </c>
      <c r="J9" s="19">
        <f t="shared" ref="J9:J24" si="4">AVERAGE(E9:I9)</f>
        <v>33.78</v>
      </c>
      <c r="K9" s="7">
        <v>0.1</v>
      </c>
      <c r="L9" s="9">
        <f>J9*(1+K9)</f>
        <v>37.158000000000001</v>
      </c>
      <c r="M9" s="7">
        <v>1</v>
      </c>
      <c r="N9" s="7">
        <v>1</v>
      </c>
      <c r="O9" s="9">
        <f t="shared" ref="O9:O29" si="5">L9/N9</f>
        <v>37.158000000000001</v>
      </c>
      <c r="P9" s="11">
        <f>ROUNDDOWN(3600/O9,0)</f>
        <v>96</v>
      </c>
      <c r="Q9" s="46" t="e" cm="1">
        <f t="array" aca="1" ref="Q9" ca="1">SUM(O9:O22)/(MAX(O9:O22)*V10COUNT(M9:M22))</f>
        <v>#NAME?</v>
      </c>
      <c r="R9" s="13">
        <v>60</v>
      </c>
      <c r="S9" s="43">
        <f>MIN(P9:P24)</f>
        <v>61</v>
      </c>
    </row>
    <row r="10" spans="1:23" ht="24" customHeight="1" x14ac:dyDescent="0.25">
      <c r="A10" s="41"/>
      <c r="B10" s="41"/>
      <c r="C10" s="7">
        <v>2</v>
      </c>
      <c r="D10" s="18" t="s">
        <v>31</v>
      </c>
      <c r="E10" s="19">
        <v>47.76</v>
      </c>
      <c r="F10" s="19">
        <v>48.07</v>
      </c>
      <c r="G10" s="19">
        <v>46.3</v>
      </c>
      <c r="H10" s="19">
        <v>47.38</v>
      </c>
      <c r="I10" s="19">
        <v>47.43</v>
      </c>
      <c r="J10" s="19">
        <f t="shared" si="4"/>
        <v>47.387999999999998</v>
      </c>
      <c r="K10" s="7">
        <v>0.1</v>
      </c>
      <c r="L10" s="9">
        <f t="shared" ref="L10:L29" si="6">J10*(1+K10)</f>
        <v>52.126800000000003</v>
      </c>
      <c r="M10" s="7">
        <v>1</v>
      </c>
      <c r="N10" s="7">
        <v>1</v>
      </c>
      <c r="O10" s="9">
        <f t="shared" si="5"/>
        <v>52.126800000000003</v>
      </c>
      <c r="P10" s="11">
        <f t="shared" ref="P10:P29" si="7">ROUNDDOWN(3600/O10,0)</f>
        <v>69</v>
      </c>
      <c r="Q10" s="44"/>
      <c r="R10" s="13">
        <v>60</v>
      </c>
      <c r="S10" s="41"/>
    </row>
    <row r="11" spans="1:23" ht="24" customHeight="1" x14ac:dyDescent="0.25">
      <c r="A11" s="41"/>
      <c r="B11" s="41"/>
      <c r="C11" s="7">
        <v>3</v>
      </c>
      <c r="D11" s="22" t="s">
        <v>32</v>
      </c>
      <c r="E11" s="19">
        <v>32.46</v>
      </c>
      <c r="F11" s="19">
        <v>33.880000000000003</v>
      </c>
      <c r="G11" s="19">
        <v>33.75</v>
      </c>
      <c r="H11" s="19">
        <v>36.880000000000003</v>
      </c>
      <c r="I11" s="19">
        <v>38.18</v>
      </c>
      <c r="J11" s="19">
        <f t="shared" si="4"/>
        <v>35.03</v>
      </c>
      <c r="K11" s="7">
        <v>0.1</v>
      </c>
      <c r="L11" s="9">
        <f t="shared" si="6"/>
        <v>38.533000000000001</v>
      </c>
      <c r="M11" s="7">
        <v>1</v>
      </c>
      <c r="N11" s="7">
        <v>1</v>
      </c>
      <c r="O11" s="9">
        <f t="shared" si="5"/>
        <v>38.533000000000001</v>
      </c>
      <c r="P11" s="11">
        <f t="shared" si="7"/>
        <v>93</v>
      </c>
      <c r="Q11" s="44"/>
      <c r="R11" s="13">
        <v>60</v>
      </c>
      <c r="S11" s="41"/>
    </row>
    <row r="12" spans="1:23" ht="24" customHeight="1" x14ac:dyDescent="0.25">
      <c r="A12" s="41"/>
      <c r="B12" s="41"/>
      <c r="C12" s="7">
        <v>4</v>
      </c>
      <c r="D12" s="18" t="s">
        <v>33</v>
      </c>
      <c r="E12" s="19">
        <v>52.81</v>
      </c>
      <c r="F12" s="19">
        <v>53.04</v>
      </c>
      <c r="G12" s="19">
        <v>53.71</v>
      </c>
      <c r="H12" s="19">
        <v>53.07</v>
      </c>
      <c r="I12" s="19">
        <v>53.81</v>
      </c>
      <c r="J12" s="19">
        <f t="shared" si="4"/>
        <v>53.287999999999997</v>
      </c>
      <c r="K12" s="7">
        <v>0.1</v>
      </c>
      <c r="L12" s="9">
        <f t="shared" si="6"/>
        <v>58.616799999999998</v>
      </c>
      <c r="M12" s="10">
        <v>0</v>
      </c>
      <c r="N12" s="7">
        <v>1</v>
      </c>
      <c r="O12" s="9">
        <f t="shared" si="5"/>
        <v>58.616799999999998</v>
      </c>
      <c r="P12" s="11">
        <f t="shared" si="7"/>
        <v>61</v>
      </c>
      <c r="Q12" s="44"/>
      <c r="R12" s="13">
        <v>60</v>
      </c>
      <c r="S12" s="41"/>
    </row>
    <row r="13" spans="1:23" ht="24" customHeight="1" x14ac:dyDescent="0.25">
      <c r="A13" s="41"/>
      <c r="B13" s="41"/>
      <c r="C13" s="7">
        <v>5</v>
      </c>
      <c r="D13" s="18" t="s">
        <v>34</v>
      </c>
      <c r="E13" s="19">
        <v>42.76</v>
      </c>
      <c r="F13" s="19">
        <v>45.77</v>
      </c>
      <c r="G13" s="19">
        <v>43.01</v>
      </c>
      <c r="H13" s="19">
        <v>43.64</v>
      </c>
      <c r="I13" s="19">
        <v>44.57</v>
      </c>
      <c r="J13" s="19">
        <f t="shared" si="4"/>
        <v>43.95</v>
      </c>
      <c r="K13" s="7">
        <v>0.1</v>
      </c>
      <c r="L13" s="9">
        <f t="shared" si="6"/>
        <v>48.344999999999999</v>
      </c>
      <c r="M13" s="7">
        <v>1</v>
      </c>
      <c r="N13" s="7">
        <v>1</v>
      </c>
      <c r="O13" s="9">
        <f t="shared" si="5"/>
        <v>48.344999999999999</v>
      </c>
      <c r="P13" s="11">
        <f t="shared" si="7"/>
        <v>74</v>
      </c>
      <c r="Q13" s="44"/>
      <c r="R13" s="13">
        <v>60</v>
      </c>
      <c r="S13" s="41"/>
    </row>
    <row r="14" spans="1:23" ht="24" customHeight="1" x14ac:dyDescent="0.25">
      <c r="A14" s="41"/>
      <c r="B14" s="41"/>
      <c r="C14" s="7">
        <v>6</v>
      </c>
      <c r="D14" s="18" t="s">
        <v>35</v>
      </c>
      <c r="E14" s="19">
        <v>33.200000000000003</v>
      </c>
      <c r="F14" s="19">
        <v>34.659999999999997</v>
      </c>
      <c r="G14" s="19">
        <v>34.86</v>
      </c>
      <c r="H14" s="19">
        <v>34.5</v>
      </c>
      <c r="I14" s="19">
        <v>35.03</v>
      </c>
      <c r="J14" s="19">
        <f t="shared" si="4"/>
        <v>34.450000000000003</v>
      </c>
      <c r="K14" s="7">
        <v>0.1</v>
      </c>
      <c r="L14" s="9">
        <f t="shared" si="6"/>
        <v>37.895000000000003</v>
      </c>
      <c r="M14" s="10">
        <v>0</v>
      </c>
      <c r="N14" s="7">
        <v>1</v>
      </c>
      <c r="O14" s="9">
        <f t="shared" si="5"/>
        <v>37.895000000000003</v>
      </c>
      <c r="P14" s="11">
        <f t="shared" si="7"/>
        <v>94</v>
      </c>
      <c r="Q14" s="44"/>
      <c r="R14" s="13">
        <v>60</v>
      </c>
      <c r="S14" s="41"/>
      <c r="U14" s="1">
        <v>2</v>
      </c>
    </row>
    <row r="15" spans="1:23" ht="24" customHeight="1" x14ac:dyDescent="0.25">
      <c r="A15" s="41"/>
      <c r="B15" s="41"/>
      <c r="C15" s="7">
        <v>7</v>
      </c>
      <c r="D15" s="18" t="s">
        <v>36</v>
      </c>
      <c r="E15" s="19">
        <v>43.54</v>
      </c>
      <c r="F15" s="19">
        <v>43.04</v>
      </c>
      <c r="G15" s="19">
        <v>45.67</v>
      </c>
      <c r="H15" s="19">
        <v>45.03</v>
      </c>
      <c r="I15" s="19">
        <v>44.81</v>
      </c>
      <c r="J15" s="19">
        <f t="shared" si="4"/>
        <v>44.417999999999999</v>
      </c>
      <c r="K15" s="7">
        <v>0.1</v>
      </c>
      <c r="L15" s="9">
        <f t="shared" si="6"/>
        <v>48.8598</v>
      </c>
      <c r="M15" s="10">
        <v>0</v>
      </c>
      <c r="N15" s="7">
        <v>1</v>
      </c>
      <c r="O15" s="9">
        <f t="shared" si="5"/>
        <v>48.8598</v>
      </c>
      <c r="P15" s="11">
        <f t="shared" si="7"/>
        <v>73</v>
      </c>
      <c r="Q15" s="44"/>
      <c r="R15" s="13">
        <v>60</v>
      </c>
      <c r="S15" s="41"/>
    </row>
    <row r="16" spans="1:23" ht="24" customHeight="1" x14ac:dyDescent="0.25">
      <c r="A16" s="41"/>
      <c r="B16" s="41"/>
      <c r="C16" s="7">
        <v>8</v>
      </c>
      <c r="D16" s="18" t="s">
        <v>37</v>
      </c>
      <c r="E16" s="19">
        <v>48.49</v>
      </c>
      <c r="F16" s="19">
        <v>48.94</v>
      </c>
      <c r="G16" s="19">
        <v>49.55</v>
      </c>
      <c r="H16" s="19">
        <v>49.55</v>
      </c>
      <c r="I16" s="19">
        <v>48.67</v>
      </c>
      <c r="J16" s="19">
        <f t="shared" si="4"/>
        <v>49.04</v>
      </c>
      <c r="K16" s="7">
        <v>0.1</v>
      </c>
      <c r="L16" s="9">
        <f t="shared" si="6"/>
        <v>53.944000000000003</v>
      </c>
      <c r="M16" s="10">
        <v>0</v>
      </c>
      <c r="N16" s="7">
        <v>1</v>
      </c>
      <c r="O16" s="9">
        <f t="shared" si="5"/>
        <v>53.944000000000003</v>
      </c>
      <c r="P16" s="11">
        <f t="shared" si="7"/>
        <v>66</v>
      </c>
      <c r="Q16" s="44"/>
      <c r="R16" s="13">
        <v>60</v>
      </c>
      <c r="S16" s="41"/>
    </row>
    <row r="17" spans="1:19" ht="24" customHeight="1" x14ac:dyDescent="0.25">
      <c r="A17" s="41"/>
      <c r="B17" s="41"/>
      <c r="C17" s="7">
        <v>9</v>
      </c>
      <c r="D17" s="18" t="s">
        <v>38</v>
      </c>
      <c r="E17" s="19">
        <v>33.1</v>
      </c>
      <c r="F17" s="19">
        <v>33.450000000000003</v>
      </c>
      <c r="G17" s="19">
        <v>33.53</v>
      </c>
      <c r="H17" s="19">
        <v>33.049999999999997</v>
      </c>
      <c r="I17" s="19">
        <v>34.15</v>
      </c>
      <c r="J17" s="19">
        <f t="shared" si="4"/>
        <v>33.456000000000003</v>
      </c>
      <c r="K17" s="7">
        <v>0.1</v>
      </c>
      <c r="L17" s="9">
        <f t="shared" si="6"/>
        <v>36.801600000000001</v>
      </c>
      <c r="M17" s="10">
        <v>0</v>
      </c>
      <c r="N17" s="7">
        <v>1</v>
      </c>
      <c r="O17" s="9">
        <f t="shared" si="5"/>
        <v>36.801600000000001</v>
      </c>
      <c r="P17" s="11">
        <f t="shared" si="7"/>
        <v>97</v>
      </c>
      <c r="Q17" s="44"/>
      <c r="R17" s="13">
        <v>60</v>
      </c>
      <c r="S17" s="41"/>
    </row>
    <row r="18" spans="1:19" ht="24" customHeight="1" x14ac:dyDescent="0.25">
      <c r="A18" s="41"/>
      <c r="B18" s="41"/>
      <c r="C18" s="7">
        <v>10</v>
      </c>
      <c r="D18" s="18" t="s">
        <v>39</v>
      </c>
      <c r="E18" s="19">
        <v>51.21</v>
      </c>
      <c r="F18" s="19">
        <v>52.56</v>
      </c>
      <c r="G18" s="19">
        <v>49.99</v>
      </c>
      <c r="H18" s="19">
        <v>50.14</v>
      </c>
      <c r="I18" s="19">
        <v>52.79</v>
      </c>
      <c r="J18" s="19">
        <f t="shared" si="4"/>
        <v>51.338000000000001</v>
      </c>
      <c r="K18" s="7">
        <v>0.1</v>
      </c>
      <c r="L18" s="9">
        <f t="shared" si="6"/>
        <v>56.471800000000002</v>
      </c>
      <c r="M18" s="10">
        <v>0</v>
      </c>
      <c r="N18" s="7">
        <v>1</v>
      </c>
      <c r="O18" s="9">
        <f t="shared" si="5"/>
        <v>56.471800000000002</v>
      </c>
      <c r="P18" s="11">
        <f t="shared" si="7"/>
        <v>63</v>
      </c>
      <c r="Q18" s="44"/>
      <c r="R18" s="13">
        <v>60</v>
      </c>
      <c r="S18" s="41"/>
    </row>
    <row r="19" spans="1:19" ht="24" customHeight="1" x14ac:dyDescent="0.25">
      <c r="A19" s="41"/>
      <c r="B19" s="41"/>
      <c r="C19" s="7">
        <v>11</v>
      </c>
      <c r="D19" s="18" t="s">
        <v>40</v>
      </c>
      <c r="E19" s="19">
        <v>25.17</v>
      </c>
      <c r="F19" s="19">
        <v>24.84</v>
      </c>
      <c r="G19" s="19">
        <v>25.51</v>
      </c>
      <c r="H19" s="19">
        <v>27.01</v>
      </c>
      <c r="I19" s="19">
        <v>26.29</v>
      </c>
      <c r="J19" s="19">
        <f t="shared" si="4"/>
        <v>25.763999999999999</v>
      </c>
      <c r="K19" s="7">
        <v>0.1</v>
      </c>
      <c r="L19" s="9">
        <f t="shared" si="6"/>
        <v>28.340399999999999</v>
      </c>
      <c r="M19" s="7">
        <v>1</v>
      </c>
      <c r="N19" s="7">
        <v>1</v>
      </c>
      <c r="O19" s="9">
        <f t="shared" si="5"/>
        <v>28.340399999999999</v>
      </c>
      <c r="P19" s="11">
        <f t="shared" si="7"/>
        <v>127</v>
      </c>
      <c r="Q19" s="44"/>
      <c r="R19" s="13">
        <v>60</v>
      </c>
      <c r="S19" s="41"/>
    </row>
    <row r="20" spans="1:19" ht="24" customHeight="1" x14ac:dyDescent="0.25">
      <c r="A20" s="41"/>
      <c r="B20" s="41"/>
      <c r="C20" s="7">
        <v>12</v>
      </c>
      <c r="D20" s="18" t="s">
        <v>41</v>
      </c>
      <c r="E20" s="19">
        <v>37.380000000000003</v>
      </c>
      <c r="F20" s="19">
        <v>38.270000000000003</v>
      </c>
      <c r="G20" s="19">
        <v>37.450000000000003</v>
      </c>
      <c r="H20" s="19">
        <v>38.270000000000003</v>
      </c>
      <c r="I20" s="19">
        <v>38.22</v>
      </c>
      <c r="J20" s="19">
        <f t="shared" si="4"/>
        <v>37.917999999999999</v>
      </c>
      <c r="K20" s="7">
        <v>0.1</v>
      </c>
      <c r="L20" s="9">
        <f t="shared" si="6"/>
        <v>41.709800000000001</v>
      </c>
      <c r="M20" s="10">
        <v>0</v>
      </c>
      <c r="N20" s="7">
        <v>1</v>
      </c>
      <c r="O20" s="9">
        <f t="shared" si="5"/>
        <v>41.709800000000001</v>
      </c>
      <c r="P20" s="11">
        <f t="shared" si="7"/>
        <v>86</v>
      </c>
      <c r="Q20" s="44"/>
      <c r="R20" s="13">
        <v>60</v>
      </c>
      <c r="S20" s="41"/>
    </row>
    <row r="21" spans="1:19" ht="24" customHeight="1" x14ac:dyDescent="0.25">
      <c r="A21" s="41"/>
      <c r="B21" s="41"/>
      <c r="C21" s="7">
        <v>13</v>
      </c>
      <c r="D21" s="18" t="s">
        <v>42</v>
      </c>
      <c r="E21" s="19">
        <v>36.9</v>
      </c>
      <c r="F21" s="19">
        <v>38.15</v>
      </c>
      <c r="G21" s="19">
        <v>37.79</v>
      </c>
      <c r="H21" s="19">
        <v>38.5</v>
      </c>
      <c r="I21" s="19">
        <v>38.15</v>
      </c>
      <c r="J21" s="19">
        <f t="shared" si="4"/>
        <v>37.898000000000003</v>
      </c>
      <c r="K21" s="7">
        <v>0.1</v>
      </c>
      <c r="L21" s="9">
        <f t="shared" si="6"/>
        <v>41.687800000000003</v>
      </c>
      <c r="M21" s="10">
        <v>0</v>
      </c>
      <c r="N21" s="7">
        <v>1</v>
      </c>
      <c r="O21" s="9">
        <f t="shared" si="5"/>
        <v>41.687800000000003</v>
      </c>
      <c r="P21" s="11">
        <f t="shared" si="7"/>
        <v>86</v>
      </c>
      <c r="Q21" s="44"/>
      <c r="R21" s="13">
        <v>60</v>
      </c>
      <c r="S21" s="41"/>
    </row>
    <row r="22" spans="1:19" ht="24" customHeight="1" x14ac:dyDescent="0.25">
      <c r="A22" s="41"/>
      <c r="B22" s="42"/>
      <c r="C22" s="7">
        <v>14</v>
      </c>
      <c r="D22" s="18" t="s">
        <v>43</v>
      </c>
      <c r="E22" s="19">
        <v>34.83</v>
      </c>
      <c r="F22" s="19">
        <v>29.1</v>
      </c>
      <c r="G22" s="19">
        <v>33.869999999999997</v>
      </c>
      <c r="H22" s="19">
        <v>31.53</v>
      </c>
      <c r="I22" s="19">
        <v>34.950000000000003</v>
      </c>
      <c r="J22" s="19">
        <f t="shared" si="4"/>
        <v>32.856000000000002</v>
      </c>
      <c r="K22" s="7">
        <v>0.1</v>
      </c>
      <c r="L22" s="9">
        <f t="shared" si="6"/>
        <v>36.141599999999997</v>
      </c>
      <c r="M22" s="7">
        <v>1</v>
      </c>
      <c r="N22" s="7">
        <v>1</v>
      </c>
      <c r="O22" s="9">
        <f t="shared" si="5"/>
        <v>36.141599999999997</v>
      </c>
      <c r="P22" s="11">
        <f t="shared" si="7"/>
        <v>99</v>
      </c>
      <c r="Q22" s="45"/>
      <c r="R22" s="13">
        <v>60</v>
      </c>
      <c r="S22" s="42"/>
    </row>
    <row r="23" spans="1:19" ht="24" customHeight="1" x14ac:dyDescent="0.25">
      <c r="A23" s="41"/>
      <c r="B23" s="7" t="s">
        <v>44</v>
      </c>
      <c r="C23" s="7">
        <v>1</v>
      </c>
      <c r="D23" s="18" t="s">
        <v>44</v>
      </c>
      <c r="E23" s="19">
        <v>3660</v>
      </c>
      <c r="F23" s="19">
        <v>3660</v>
      </c>
      <c r="G23" s="19">
        <v>3660</v>
      </c>
      <c r="H23" s="19">
        <v>3660</v>
      </c>
      <c r="I23" s="19">
        <v>3660</v>
      </c>
      <c r="J23" s="19">
        <f t="shared" si="4"/>
        <v>3660</v>
      </c>
      <c r="K23" s="7">
        <v>0.1</v>
      </c>
      <c r="L23" s="9">
        <f t="shared" si="6"/>
        <v>4026</v>
      </c>
      <c r="M23" s="7">
        <v>1</v>
      </c>
      <c r="N23" s="7">
        <v>100</v>
      </c>
      <c r="O23" s="9">
        <f t="shared" si="5"/>
        <v>40.26</v>
      </c>
      <c r="P23" s="11">
        <f t="shared" si="7"/>
        <v>89</v>
      </c>
      <c r="Q23" s="46">
        <f>SUM(O23:O29)/(MAX(O23:O29)*COUNT(M23:M29))</f>
        <v>0.79710921343999996</v>
      </c>
      <c r="R23" s="13">
        <v>60</v>
      </c>
      <c r="S23" s="7">
        <f>P23</f>
        <v>89</v>
      </c>
    </row>
    <row r="24" spans="1:19" ht="24" customHeight="1" x14ac:dyDescent="0.25">
      <c r="A24" s="41"/>
      <c r="B24" s="7" t="s">
        <v>45</v>
      </c>
      <c r="C24" s="7">
        <v>2</v>
      </c>
      <c r="D24" s="18" t="s">
        <v>45</v>
      </c>
      <c r="E24" s="19">
        <v>86.43</v>
      </c>
      <c r="F24" s="19">
        <v>87.22</v>
      </c>
      <c r="G24" s="19">
        <v>88.06</v>
      </c>
      <c r="H24" s="19">
        <v>87.46</v>
      </c>
      <c r="I24" s="19">
        <v>90.95</v>
      </c>
      <c r="J24" s="19">
        <f t="shared" si="4"/>
        <v>88.024000000000001</v>
      </c>
      <c r="K24" s="7">
        <v>0.1</v>
      </c>
      <c r="L24" s="9">
        <f t="shared" si="6"/>
        <v>96.826400000000007</v>
      </c>
      <c r="M24" s="7">
        <v>1</v>
      </c>
      <c r="N24" s="7">
        <v>2</v>
      </c>
      <c r="O24" s="9">
        <f t="shared" si="5"/>
        <v>48.413200000000003</v>
      </c>
      <c r="P24" s="11">
        <f t="shared" si="7"/>
        <v>74</v>
      </c>
      <c r="Q24" s="44"/>
      <c r="R24" s="13">
        <v>60</v>
      </c>
      <c r="S24" s="7">
        <f>P24</f>
        <v>74</v>
      </c>
    </row>
    <row r="25" spans="1:19" ht="24" customHeight="1" x14ac:dyDescent="0.25">
      <c r="A25" s="41"/>
      <c r="B25" s="7" t="s">
        <v>46</v>
      </c>
      <c r="C25" s="7">
        <v>3</v>
      </c>
      <c r="D25" s="18" t="s">
        <v>47</v>
      </c>
      <c r="E25" s="24">
        <v>47.59</v>
      </c>
      <c r="F25" s="24">
        <v>45.43</v>
      </c>
      <c r="G25" s="24">
        <v>50.34</v>
      </c>
      <c r="H25" s="24">
        <v>48.36</v>
      </c>
      <c r="I25" s="24">
        <v>51.21</v>
      </c>
      <c r="J25" s="19">
        <f t="shared" ref="J25:J29" si="8">AVERAGE(E25:I25)</f>
        <v>48.585999999999999</v>
      </c>
      <c r="K25" s="7">
        <v>0.1</v>
      </c>
      <c r="L25" s="9">
        <f t="shared" si="6"/>
        <v>53.444600000000001</v>
      </c>
      <c r="M25" s="7">
        <v>1</v>
      </c>
      <c r="N25" s="7">
        <v>1</v>
      </c>
      <c r="O25" s="9">
        <f t="shared" si="5"/>
        <v>53.444600000000001</v>
      </c>
      <c r="P25" s="11">
        <f t="shared" si="7"/>
        <v>67</v>
      </c>
      <c r="Q25" s="44"/>
      <c r="R25" s="13">
        <v>60</v>
      </c>
      <c r="S25" s="43">
        <f>MIN(P25:P29)</f>
        <v>61</v>
      </c>
    </row>
    <row r="26" spans="1:19" ht="24" customHeight="1" x14ac:dyDescent="0.25">
      <c r="A26" s="41"/>
      <c r="B26" s="47" t="s">
        <v>48</v>
      </c>
      <c r="C26" s="7">
        <v>4</v>
      </c>
      <c r="D26" s="18" t="s">
        <v>49</v>
      </c>
      <c r="E26" s="24">
        <v>37.04</v>
      </c>
      <c r="F26" s="24">
        <v>36.36</v>
      </c>
      <c r="G26" s="24">
        <v>35.03</v>
      </c>
      <c r="H26" s="24">
        <v>38.130000000000003</v>
      </c>
      <c r="I26" s="24">
        <v>36.44</v>
      </c>
      <c r="J26" s="19">
        <f t="shared" si="8"/>
        <v>36.6</v>
      </c>
      <c r="K26" s="7">
        <v>0.1</v>
      </c>
      <c r="L26" s="9">
        <f t="shared" si="6"/>
        <v>40.26</v>
      </c>
      <c r="M26" s="7">
        <v>1</v>
      </c>
      <c r="N26" s="7">
        <v>1</v>
      </c>
      <c r="O26" s="9">
        <f t="shared" si="5"/>
        <v>40.26</v>
      </c>
      <c r="P26" s="11">
        <f t="shared" si="7"/>
        <v>89</v>
      </c>
      <c r="Q26" s="44"/>
      <c r="R26" s="13">
        <v>60</v>
      </c>
      <c r="S26" s="41"/>
    </row>
    <row r="27" spans="1:19" ht="24" customHeight="1" x14ac:dyDescent="0.25">
      <c r="A27" s="41"/>
      <c r="B27" s="47"/>
      <c r="C27" s="7">
        <v>5</v>
      </c>
      <c r="D27" s="18" t="s">
        <v>50</v>
      </c>
      <c r="E27" s="24">
        <v>39.43</v>
      </c>
      <c r="F27" s="24">
        <v>40.340000000000003</v>
      </c>
      <c r="G27" s="24">
        <v>39.869999999999997</v>
      </c>
      <c r="H27" s="24">
        <v>41.22</v>
      </c>
      <c r="I27" s="24">
        <v>39.94</v>
      </c>
      <c r="J27" s="19">
        <f t="shared" si="8"/>
        <v>40.159999999999997</v>
      </c>
      <c r="K27" s="7">
        <v>0.1</v>
      </c>
      <c r="L27" s="9">
        <f t="shared" si="6"/>
        <v>44.176000000000002</v>
      </c>
      <c r="M27" s="10">
        <v>0</v>
      </c>
      <c r="N27" s="7">
        <v>1</v>
      </c>
      <c r="O27" s="9">
        <f t="shared" si="5"/>
        <v>44.176000000000002</v>
      </c>
      <c r="P27" s="11">
        <f t="shared" si="7"/>
        <v>81</v>
      </c>
      <c r="Q27" s="44"/>
      <c r="R27" s="13">
        <v>60</v>
      </c>
      <c r="S27" s="41"/>
    </row>
    <row r="28" spans="1:19" ht="24" customHeight="1" x14ac:dyDescent="0.25">
      <c r="A28" s="41"/>
      <c r="B28" s="47"/>
      <c r="C28" s="7">
        <v>6</v>
      </c>
      <c r="D28" s="18" t="s">
        <v>40</v>
      </c>
      <c r="E28" s="24">
        <v>36.630000000000003</v>
      </c>
      <c r="F28" s="24">
        <v>37.26</v>
      </c>
      <c r="G28" s="24">
        <v>38.21</v>
      </c>
      <c r="H28" s="24">
        <v>40.36</v>
      </c>
      <c r="I28" s="24">
        <v>38.99</v>
      </c>
      <c r="J28" s="19">
        <f t="shared" ref="J28" si="9">AVERAGE(E28:I28)</f>
        <v>38.29</v>
      </c>
      <c r="K28" s="7">
        <v>0.1</v>
      </c>
      <c r="L28" s="9">
        <f t="shared" ref="L28" si="10">J28*(1+K28)</f>
        <v>42.119</v>
      </c>
      <c r="M28" s="7">
        <v>1</v>
      </c>
      <c r="N28" s="7">
        <v>1</v>
      </c>
      <c r="O28" s="9">
        <f t="shared" si="5"/>
        <v>42.119</v>
      </c>
      <c r="P28" s="11">
        <f t="shared" si="7"/>
        <v>85</v>
      </c>
      <c r="Q28" s="44"/>
      <c r="R28" s="13"/>
      <c r="S28" s="41"/>
    </row>
    <row r="29" spans="1:19" ht="24" customHeight="1" x14ac:dyDescent="0.25">
      <c r="A29" s="42"/>
      <c r="B29" s="47"/>
      <c r="C29" s="7">
        <v>7</v>
      </c>
      <c r="D29" s="18" t="s">
        <v>51</v>
      </c>
      <c r="E29" s="24">
        <v>213.38</v>
      </c>
      <c r="F29" s="24">
        <v>212.98</v>
      </c>
      <c r="G29" s="24">
        <v>210.67</v>
      </c>
      <c r="H29" s="24">
        <v>215.88</v>
      </c>
      <c r="I29" s="24">
        <v>213.73</v>
      </c>
      <c r="J29" s="19">
        <f t="shared" si="8"/>
        <v>213.328</v>
      </c>
      <c r="K29" s="7">
        <v>0.1</v>
      </c>
      <c r="L29" s="9">
        <f t="shared" si="6"/>
        <v>234.66079999999999</v>
      </c>
      <c r="M29" s="7">
        <v>1</v>
      </c>
      <c r="N29" s="7">
        <v>4</v>
      </c>
      <c r="O29" s="9">
        <f t="shared" si="5"/>
        <v>58.665199999999999</v>
      </c>
      <c r="P29" s="11">
        <f t="shared" si="7"/>
        <v>61</v>
      </c>
      <c r="Q29" s="45"/>
      <c r="R29" s="13">
        <v>60</v>
      </c>
      <c r="S29" s="42"/>
    </row>
    <row r="30" spans="1:19" x14ac:dyDescent="0.25">
      <c r="A30" s="25"/>
      <c r="M30" s="2">
        <f>SUM(M9:M29)</f>
        <v>12</v>
      </c>
    </row>
    <row r="31" spans="1:19" x14ac:dyDescent="0.25">
      <c r="A31" s="25"/>
    </row>
    <row r="32" spans="1:19" x14ac:dyDescent="0.25">
      <c r="A32" s="25"/>
    </row>
    <row r="33" spans="1:1" x14ac:dyDescent="0.25">
      <c r="A33" s="25"/>
    </row>
  </sheetData>
  <mergeCells count="11">
    <mergeCell ref="Q2:Q5"/>
    <mergeCell ref="Q9:Q22"/>
    <mergeCell ref="Q23:Q29"/>
    <mergeCell ref="S2:S5"/>
    <mergeCell ref="S9:S22"/>
    <mergeCell ref="S25:S29"/>
    <mergeCell ref="A2:A5"/>
    <mergeCell ref="A9:A29"/>
    <mergeCell ref="B2:B5"/>
    <mergeCell ref="B9:B22"/>
    <mergeCell ref="B26:B29"/>
  </mergeCells>
  <phoneticPr fontId="5" type="noConversion"/>
  <pageMargins left="0.7" right="0.7" top="0.75" bottom="0.75" header="0.3" footer="0.7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1706-AA4B-4AAB-8854-9B2F7582B093}">
  <dimension ref="A1:S29"/>
  <sheetViews>
    <sheetView zoomScale="130" zoomScaleNormal="130" workbookViewId="0">
      <selection activeCell="E10" sqref="E10"/>
    </sheetView>
  </sheetViews>
  <sheetFormatPr defaultRowHeight="14.4" x14ac:dyDescent="0.25"/>
  <cols>
    <col min="1" max="2" width="9.21875" bestFit="1" customWidth="1"/>
    <col min="4" max="4" width="21.5546875" bestFit="1" customWidth="1"/>
    <col min="5" max="9" width="8.109375" bestFit="1" customWidth="1"/>
    <col min="11" max="11" width="8.21875" bestFit="1" customWidth="1"/>
    <col min="12" max="15" width="10.44140625" bestFit="1" customWidth="1"/>
    <col min="16" max="16" width="18.88671875" bestFit="1" customWidth="1"/>
    <col min="17" max="17" width="8.6640625" bestFit="1" customWidth="1"/>
    <col min="18" max="18" width="18.88671875" bestFit="1" customWidth="1"/>
    <col min="19" max="19" width="14" bestFit="1" customWidth="1"/>
  </cols>
  <sheetData>
    <row r="1" spans="1:19" ht="17.39999999999999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</row>
    <row r="2" spans="1:19" ht="15.6" x14ac:dyDescent="0.25">
      <c r="A2" s="49" t="s">
        <v>54</v>
      </c>
      <c r="B2" s="43" t="s">
        <v>20</v>
      </c>
      <c r="C2" s="26">
        <v>1</v>
      </c>
      <c r="D2" s="26" t="s">
        <v>21</v>
      </c>
      <c r="E2" s="28">
        <v>22.49</v>
      </c>
      <c r="F2" s="28">
        <v>22.41</v>
      </c>
      <c r="G2" s="28">
        <v>22.67</v>
      </c>
      <c r="H2" s="28">
        <v>21.94</v>
      </c>
      <c r="I2" s="28">
        <v>22.37</v>
      </c>
      <c r="J2" s="9">
        <f t="shared" ref="J2:J5" si="0">AVERAGE(E2:I2)</f>
        <v>22.375999999999998</v>
      </c>
      <c r="K2" s="26">
        <v>0.1</v>
      </c>
      <c r="L2" s="9">
        <f t="shared" ref="L2:L5" si="1">J2*(1+K2)</f>
        <v>24.613599999999998</v>
      </c>
      <c r="M2" s="10">
        <v>0</v>
      </c>
      <c r="N2" s="26">
        <v>2</v>
      </c>
      <c r="O2" s="9">
        <f t="shared" ref="O2:O5" si="2">L2/N2</f>
        <v>12.306799999999999</v>
      </c>
      <c r="P2" s="11">
        <f t="shared" ref="P2:P5" si="3">ROUNDDOWN(3600/O2,0)</f>
        <v>292</v>
      </c>
      <c r="Q2" s="48">
        <f>SUM(O2:O5)/(MAX(O2:O5)*COUNT(M2:M5))</f>
        <v>0.59128538109361051</v>
      </c>
      <c r="R2" s="13">
        <v>60</v>
      </c>
      <c r="S2" s="47">
        <f>MIN(P2:P5)</f>
        <v>47</v>
      </c>
    </row>
    <row r="3" spans="1:19" ht="15.6" x14ac:dyDescent="0.25">
      <c r="A3" s="47"/>
      <c r="B3" s="41"/>
      <c r="C3" s="26">
        <v>2</v>
      </c>
      <c r="D3" s="28" t="s">
        <v>55</v>
      </c>
      <c r="E3" s="28">
        <v>67.64</v>
      </c>
      <c r="F3" s="28">
        <v>68.31</v>
      </c>
      <c r="G3" s="28">
        <v>67.39</v>
      </c>
      <c r="H3" s="28">
        <v>67.63</v>
      </c>
      <c r="I3" s="28">
        <v>67.7</v>
      </c>
      <c r="J3" s="9">
        <f t="shared" si="0"/>
        <v>67.733999999999995</v>
      </c>
      <c r="K3" s="26">
        <v>0.1</v>
      </c>
      <c r="L3" s="9">
        <f t="shared" si="1"/>
        <v>74.507400000000004</v>
      </c>
      <c r="M3" s="10">
        <v>0</v>
      </c>
      <c r="N3" s="26">
        <v>2</v>
      </c>
      <c r="O3" s="9">
        <f t="shared" si="2"/>
        <v>37.253700000000002</v>
      </c>
      <c r="P3" s="11">
        <f t="shared" si="3"/>
        <v>96</v>
      </c>
      <c r="Q3" s="48"/>
      <c r="R3" s="13">
        <v>60</v>
      </c>
      <c r="S3" s="47"/>
    </row>
    <row r="4" spans="1:19" ht="15.6" x14ac:dyDescent="0.25">
      <c r="A4" s="47"/>
      <c r="B4" s="41"/>
      <c r="C4" s="26">
        <v>3</v>
      </c>
      <c r="D4" s="26" t="s">
        <v>25</v>
      </c>
      <c r="E4" s="28">
        <v>100.15</v>
      </c>
      <c r="F4" s="28">
        <v>98.39</v>
      </c>
      <c r="G4" s="28">
        <v>99.16</v>
      </c>
      <c r="H4" s="28">
        <v>99.8</v>
      </c>
      <c r="I4" s="28">
        <v>100.15</v>
      </c>
      <c r="J4" s="9">
        <f>AVERAGE(E4:I4)</f>
        <v>99.530000000000015</v>
      </c>
      <c r="K4" s="26">
        <v>0.1</v>
      </c>
      <c r="L4" s="9">
        <f t="shared" si="1"/>
        <v>109.48300000000003</v>
      </c>
      <c r="M4" s="10">
        <v>0</v>
      </c>
      <c r="N4" s="26">
        <v>2</v>
      </c>
      <c r="O4" s="9">
        <f t="shared" si="2"/>
        <v>54.741500000000016</v>
      </c>
      <c r="P4" s="11">
        <f t="shared" si="3"/>
        <v>65</v>
      </c>
      <c r="Q4" s="48"/>
      <c r="R4" s="13">
        <v>60</v>
      </c>
      <c r="S4" s="47"/>
    </row>
    <row r="5" spans="1:19" ht="15.6" x14ac:dyDescent="0.25">
      <c r="A5" s="47"/>
      <c r="B5" s="42"/>
      <c r="C5" s="26">
        <v>4</v>
      </c>
      <c r="D5" s="26" t="s">
        <v>27</v>
      </c>
      <c r="E5" s="28">
        <v>135.9</v>
      </c>
      <c r="F5" s="28">
        <v>140.34</v>
      </c>
      <c r="G5" s="28">
        <v>137.34</v>
      </c>
      <c r="H5" s="28">
        <v>141.33000000000001</v>
      </c>
      <c r="I5" s="28">
        <v>139.66999999999999</v>
      </c>
      <c r="J5" s="9">
        <f t="shared" si="0"/>
        <v>138.916</v>
      </c>
      <c r="K5" s="26">
        <v>0.1</v>
      </c>
      <c r="L5" s="9">
        <f t="shared" si="1"/>
        <v>152.80760000000001</v>
      </c>
      <c r="M5" s="10">
        <v>0</v>
      </c>
      <c r="N5" s="26">
        <v>2</v>
      </c>
      <c r="O5" s="9">
        <f t="shared" si="2"/>
        <v>76.403800000000004</v>
      </c>
      <c r="P5" s="11">
        <f t="shared" si="3"/>
        <v>47</v>
      </c>
      <c r="Q5" s="48"/>
      <c r="R5" s="13">
        <v>60</v>
      </c>
      <c r="S5" s="47"/>
    </row>
    <row r="6" spans="1:19" ht="15.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7"/>
      <c r="S6" s="1"/>
    </row>
    <row r="7" spans="1:19" ht="15.6" x14ac:dyDescent="0.25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  <c r="S7" s="1"/>
    </row>
    <row r="8" spans="1:19" ht="17.399999999999999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28</v>
      </c>
      <c r="O8" s="4" t="s">
        <v>14</v>
      </c>
      <c r="P8" s="4" t="s">
        <v>15</v>
      </c>
      <c r="Q8" s="4" t="s">
        <v>16</v>
      </c>
      <c r="R8" s="5" t="s">
        <v>17</v>
      </c>
      <c r="S8" s="4" t="s">
        <v>18</v>
      </c>
    </row>
    <row r="9" spans="1:19" ht="15.6" x14ac:dyDescent="0.25">
      <c r="A9" s="38" t="s">
        <v>54</v>
      </c>
      <c r="B9" s="43" t="s">
        <v>29</v>
      </c>
      <c r="C9" s="26">
        <v>1</v>
      </c>
      <c r="D9" s="18" t="s">
        <v>30</v>
      </c>
      <c r="E9" s="28">
        <v>47.1</v>
      </c>
      <c r="F9" s="28">
        <v>50.5</v>
      </c>
      <c r="G9" s="28">
        <v>47.1</v>
      </c>
      <c r="H9" s="28">
        <v>48.3</v>
      </c>
      <c r="I9" s="28">
        <v>47.3</v>
      </c>
      <c r="J9" s="28">
        <f t="shared" ref="J9:J29" si="4">AVERAGE(E9:I9)</f>
        <v>48.06</v>
      </c>
      <c r="K9" s="28">
        <v>0.1</v>
      </c>
      <c r="L9" s="9">
        <f>J9*(1+K9)</f>
        <v>52.866000000000007</v>
      </c>
      <c r="M9" s="26">
        <v>1</v>
      </c>
      <c r="N9" s="26">
        <v>1</v>
      </c>
      <c r="O9" s="9">
        <f t="shared" ref="O9:O29" si="5">L9/N9</f>
        <v>52.866000000000007</v>
      </c>
      <c r="P9" s="11">
        <f>ROUNDDOWN(3600/O9,0)</f>
        <v>68</v>
      </c>
      <c r="Q9" s="46">
        <f>SUM(O9:O22)/(MAX(O9:O22)*COUNT(M9:M22))</f>
        <v>0.68252708890601621</v>
      </c>
      <c r="R9" s="13">
        <v>60</v>
      </c>
      <c r="S9" s="43">
        <f>MIN(P9:P24)</f>
        <v>30</v>
      </c>
    </row>
    <row r="10" spans="1:19" ht="15.6" x14ac:dyDescent="0.25">
      <c r="A10" s="41"/>
      <c r="B10" s="41"/>
      <c r="C10" s="26">
        <v>2</v>
      </c>
      <c r="D10" s="18" t="s">
        <v>31</v>
      </c>
      <c r="E10" s="28">
        <v>41.5</v>
      </c>
      <c r="F10" s="28">
        <v>43.5</v>
      </c>
      <c r="G10" s="28">
        <v>45.2</v>
      </c>
      <c r="H10" s="28">
        <v>46.9</v>
      </c>
      <c r="I10" s="28">
        <v>47.3</v>
      </c>
      <c r="J10" s="28">
        <f t="shared" si="4"/>
        <v>44.879999999999995</v>
      </c>
      <c r="K10" s="28">
        <v>0.1</v>
      </c>
      <c r="L10" s="9">
        <f t="shared" ref="L10:L29" si="6">J10*(1+K10)</f>
        <v>49.368000000000002</v>
      </c>
      <c r="M10" s="26">
        <v>1</v>
      </c>
      <c r="N10" s="26">
        <v>1</v>
      </c>
      <c r="O10" s="9">
        <f t="shared" si="5"/>
        <v>49.368000000000002</v>
      </c>
      <c r="P10" s="11">
        <f t="shared" ref="P10:P29" si="7">ROUNDDOWN(3600/O10,0)</f>
        <v>72</v>
      </c>
      <c r="Q10" s="44"/>
      <c r="R10" s="13">
        <v>60</v>
      </c>
      <c r="S10" s="41"/>
    </row>
    <row r="11" spans="1:19" ht="15.6" x14ac:dyDescent="0.25">
      <c r="A11" s="41"/>
      <c r="B11" s="41"/>
      <c r="C11" s="26">
        <v>3</v>
      </c>
      <c r="D11" s="22" t="s">
        <v>32</v>
      </c>
      <c r="E11" s="28">
        <v>31.7</v>
      </c>
      <c r="F11" s="28">
        <v>30.6</v>
      </c>
      <c r="G11" s="28">
        <v>31.6</v>
      </c>
      <c r="H11" s="28">
        <v>32.4</v>
      </c>
      <c r="I11" s="28">
        <v>32.9</v>
      </c>
      <c r="J11" s="28">
        <f t="shared" si="4"/>
        <v>31.840000000000003</v>
      </c>
      <c r="K11" s="28">
        <v>0.1</v>
      </c>
      <c r="L11" s="9">
        <f t="shared" si="6"/>
        <v>35.024000000000008</v>
      </c>
      <c r="M11" s="26">
        <v>1</v>
      </c>
      <c r="N11" s="26">
        <v>1</v>
      </c>
      <c r="O11" s="9">
        <f t="shared" si="5"/>
        <v>35.024000000000008</v>
      </c>
      <c r="P11" s="11">
        <f t="shared" si="7"/>
        <v>102</v>
      </c>
      <c r="Q11" s="44"/>
      <c r="R11" s="13">
        <v>60</v>
      </c>
      <c r="S11" s="41"/>
    </row>
    <row r="12" spans="1:19" ht="15.6" x14ac:dyDescent="0.25">
      <c r="A12" s="41"/>
      <c r="B12" s="41"/>
      <c r="C12" s="26">
        <v>4</v>
      </c>
      <c r="D12" s="18" t="s">
        <v>33</v>
      </c>
      <c r="E12" s="28">
        <v>32.700000000000003</v>
      </c>
      <c r="F12" s="28">
        <v>27.3</v>
      </c>
      <c r="G12" s="28">
        <v>28.8</v>
      </c>
      <c r="H12" s="28">
        <v>31.5</v>
      </c>
      <c r="I12" s="28">
        <v>30.4</v>
      </c>
      <c r="J12" s="28">
        <f t="shared" si="4"/>
        <v>30.139999999999997</v>
      </c>
      <c r="K12" s="28">
        <v>0.1</v>
      </c>
      <c r="L12" s="9">
        <f t="shared" si="6"/>
        <v>33.153999999999996</v>
      </c>
      <c r="M12" s="10">
        <v>0</v>
      </c>
      <c r="N12" s="26">
        <v>1</v>
      </c>
      <c r="O12" s="9">
        <f t="shared" si="5"/>
        <v>33.153999999999996</v>
      </c>
      <c r="P12" s="11">
        <f t="shared" si="7"/>
        <v>108</v>
      </c>
      <c r="Q12" s="44"/>
      <c r="R12" s="13">
        <v>60</v>
      </c>
      <c r="S12" s="41"/>
    </row>
    <row r="13" spans="1:19" ht="15.6" x14ac:dyDescent="0.25">
      <c r="A13" s="41"/>
      <c r="B13" s="41"/>
      <c r="C13" s="26">
        <v>5</v>
      </c>
      <c r="D13" s="18" t="s">
        <v>34</v>
      </c>
      <c r="E13" s="28">
        <v>27.6</v>
      </c>
      <c r="F13" s="28">
        <v>27.1</v>
      </c>
      <c r="G13" s="28">
        <v>26.8</v>
      </c>
      <c r="H13" s="28">
        <v>26.5</v>
      </c>
      <c r="I13" s="28">
        <v>27.1</v>
      </c>
      <c r="J13" s="28">
        <f t="shared" si="4"/>
        <v>27.02</v>
      </c>
      <c r="K13" s="28">
        <v>0.1</v>
      </c>
      <c r="L13" s="9">
        <f t="shared" si="6"/>
        <v>29.722000000000001</v>
      </c>
      <c r="M13" s="26">
        <v>1</v>
      </c>
      <c r="N13" s="26">
        <v>1</v>
      </c>
      <c r="O13" s="9">
        <f t="shared" si="5"/>
        <v>29.722000000000001</v>
      </c>
      <c r="P13" s="11">
        <f t="shared" si="7"/>
        <v>121</v>
      </c>
      <c r="Q13" s="44"/>
      <c r="R13" s="13">
        <v>60</v>
      </c>
      <c r="S13" s="41"/>
    </row>
    <row r="14" spans="1:19" ht="15.6" x14ac:dyDescent="0.25">
      <c r="A14" s="41"/>
      <c r="B14" s="41"/>
      <c r="C14" s="26">
        <v>6</v>
      </c>
      <c r="D14" s="18" t="s">
        <v>35</v>
      </c>
      <c r="E14" s="28">
        <v>40</v>
      </c>
      <c r="F14" s="28">
        <v>44.7</v>
      </c>
      <c r="G14" s="28">
        <v>43.6</v>
      </c>
      <c r="H14" s="28">
        <v>43.7</v>
      </c>
      <c r="I14" s="28">
        <v>42.4</v>
      </c>
      <c r="J14" s="28">
        <f t="shared" si="4"/>
        <v>42.88</v>
      </c>
      <c r="K14" s="28">
        <v>0.1</v>
      </c>
      <c r="L14" s="9">
        <f t="shared" si="6"/>
        <v>47.168000000000006</v>
      </c>
      <c r="M14" s="10">
        <v>0</v>
      </c>
      <c r="N14" s="26">
        <v>1</v>
      </c>
      <c r="O14" s="9">
        <f t="shared" si="5"/>
        <v>47.168000000000006</v>
      </c>
      <c r="P14" s="11">
        <f t="shared" si="7"/>
        <v>76</v>
      </c>
      <c r="Q14" s="44"/>
      <c r="R14" s="13">
        <v>60</v>
      </c>
      <c r="S14" s="41"/>
    </row>
    <row r="15" spans="1:19" ht="15.6" x14ac:dyDescent="0.25">
      <c r="A15" s="41"/>
      <c r="B15" s="41"/>
      <c r="C15" s="26">
        <v>7</v>
      </c>
      <c r="D15" s="18" t="s">
        <v>36</v>
      </c>
      <c r="E15" s="28">
        <v>52.8</v>
      </c>
      <c r="F15" s="28">
        <v>53.6</v>
      </c>
      <c r="G15" s="28">
        <v>52.5</v>
      </c>
      <c r="H15" s="28">
        <v>54</v>
      </c>
      <c r="I15" s="28">
        <v>53.9</v>
      </c>
      <c r="J15" s="28">
        <f t="shared" si="4"/>
        <v>53.36</v>
      </c>
      <c r="K15" s="28">
        <v>0.1</v>
      </c>
      <c r="L15" s="9">
        <f t="shared" si="6"/>
        <v>58.696000000000005</v>
      </c>
      <c r="M15" s="10">
        <v>0</v>
      </c>
      <c r="N15" s="26">
        <v>1</v>
      </c>
      <c r="O15" s="9">
        <f t="shared" si="5"/>
        <v>58.696000000000005</v>
      </c>
      <c r="P15" s="11">
        <f t="shared" si="7"/>
        <v>61</v>
      </c>
      <c r="Q15" s="44"/>
      <c r="R15" s="13">
        <v>60</v>
      </c>
      <c r="S15" s="41"/>
    </row>
    <row r="16" spans="1:19" ht="15.6" x14ac:dyDescent="0.25">
      <c r="A16" s="41"/>
      <c r="B16" s="41"/>
      <c r="C16" s="26">
        <v>8</v>
      </c>
      <c r="D16" s="18" t="s">
        <v>37</v>
      </c>
      <c r="E16" s="28">
        <v>41.4</v>
      </c>
      <c r="F16" s="28">
        <v>40.5</v>
      </c>
      <c r="G16" s="28">
        <v>41.4</v>
      </c>
      <c r="H16" s="28">
        <v>41</v>
      </c>
      <c r="I16" s="28">
        <v>41</v>
      </c>
      <c r="J16" s="28">
        <f t="shared" si="4"/>
        <v>41.06</v>
      </c>
      <c r="K16" s="28">
        <v>0.1</v>
      </c>
      <c r="L16" s="9">
        <f t="shared" si="6"/>
        <v>45.166000000000004</v>
      </c>
      <c r="M16" s="10">
        <v>0</v>
      </c>
      <c r="N16" s="26">
        <v>1</v>
      </c>
      <c r="O16" s="9">
        <f t="shared" si="5"/>
        <v>45.166000000000004</v>
      </c>
      <c r="P16" s="11">
        <f t="shared" si="7"/>
        <v>79</v>
      </c>
      <c r="Q16" s="44"/>
      <c r="R16" s="13">
        <v>60</v>
      </c>
      <c r="S16" s="41"/>
    </row>
    <row r="17" spans="1:19" ht="15.6" x14ac:dyDescent="0.25">
      <c r="A17" s="41"/>
      <c r="B17" s="41"/>
      <c r="C17" s="26">
        <v>9</v>
      </c>
      <c r="D17" s="18" t="s">
        <v>38</v>
      </c>
      <c r="E17" s="28">
        <v>62.2</v>
      </c>
      <c r="F17" s="28">
        <v>64</v>
      </c>
      <c r="G17" s="28">
        <v>61.3</v>
      </c>
      <c r="H17" s="28">
        <v>65.099999999999994</v>
      </c>
      <c r="I17" s="28">
        <v>62.5</v>
      </c>
      <c r="J17" s="28">
        <f t="shared" si="4"/>
        <v>63.02</v>
      </c>
      <c r="K17" s="28">
        <v>0.1</v>
      </c>
      <c r="L17" s="9">
        <f t="shared" si="6"/>
        <v>69.322000000000003</v>
      </c>
      <c r="M17" s="10">
        <v>0</v>
      </c>
      <c r="N17" s="26">
        <v>1</v>
      </c>
      <c r="O17" s="9">
        <f t="shared" si="5"/>
        <v>69.322000000000003</v>
      </c>
      <c r="P17" s="11">
        <f t="shared" si="7"/>
        <v>51</v>
      </c>
      <c r="Q17" s="44"/>
      <c r="R17" s="13">
        <v>60</v>
      </c>
      <c r="S17" s="41"/>
    </row>
    <row r="18" spans="1:19" ht="15.6" x14ac:dyDescent="0.25">
      <c r="A18" s="41"/>
      <c r="B18" s="41"/>
      <c r="C18" s="26">
        <v>10</v>
      </c>
      <c r="D18" s="18" t="s">
        <v>39</v>
      </c>
      <c r="E18" s="28">
        <v>28.2</v>
      </c>
      <c r="F18" s="28">
        <v>29.6</v>
      </c>
      <c r="G18" s="28">
        <v>30.3</v>
      </c>
      <c r="H18" s="28">
        <v>31</v>
      </c>
      <c r="I18" s="28">
        <v>30.4</v>
      </c>
      <c r="J18" s="28">
        <f t="shared" si="4"/>
        <v>29.9</v>
      </c>
      <c r="K18" s="28">
        <v>0.1</v>
      </c>
      <c r="L18" s="9">
        <f t="shared" si="6"/>
        <v>32.89</v>
      </c>
      <c r="M18" s="10">
        <v>0</v>
      </c>
      <c r="N18" s="26">
        <v>1</v>
      </c>
      <c r="O18" s="9">
        <f t="shared" si="5"/>
        <v>32.89</v>
      </c>
      <c r="P18" s="11">
        <f t="shared" si="7"/>
        <v>109</v>
      </c>
      <c r="Q18" s="44"/>
      <c r="R18" s="13">
        <v>60</v>
      </c>
      <c r="S18" s="41"/>
    </row>
    <row r="19" spans="1:19" ht="15.6" x14ac:dyDescent="0.25">
      <c r="A19" s="41"/>
      <c r="B19" s="41"/>
      <c r="C19" s="26">
        <v>11</v>
      </c>
      <c r="D19" s="18" t="s">
        <v>40</v>
      </c>
      <c r="E19" s="28">
        <v>39.700000000000003</v>
      </c>
      <c r="F19" s="28">
        <v>40</v>
      </c>
      <c r="G19" s="28">
        <v>39.5</v>
      </c>
      <c r="H19" s="28">
        <v>39.6</v>
      </c>
      <c r="I19" s="28">
        <v>38.5</v>
      </c>
      <c r="J19" s="28">
        <f t="shared" si="4"/>
        <v>39.46</v>
      </c>
      <c r="K19" s="28">
        <v>0.1</v>
      </c>
      <c r="L19" s="9">
        <f t="shared" si="6"/>
        <v>43.406000000000006</v>
      </c>
      <c r="M19" s="26">
        <v>1</v>
      </c>
      <c r="N19" s="26">
        <v>1</v>
      </c>
      <c r="O19" s="9">
        <f t="shared" si="5"/>
        <v>43.406000000000006</v>
      </c>
      <c r="P19" s="11">
        <f t="shared" si="7"/>
        <v>82</v>
      </c>
      <c r="Q19" s="44"/>
      <c r="R19" s="13">
        <v>60</v>
      </c>
      <c r="S19" s="41"/>
    </row>
    <row r="20" spans="1:19" ht="15.6" x14ac:dyDescent="0.25">
      <c r="A20" s="41"/>
      <c r="B20" s="41"/>
      <c r="C20" s="26">
        <v>12</v>
      </c>
      <c r="D20" s="18" t="s">
        <v>41</v>
      </c>
      <c r="E20" s="28">
        <v>62.1</v>
      </c>
      <c r="F20" s="28">
        <v>61.7</v>
      </c>
      <c r="G20" s="28">
        <v>62.6</v>
      </c>
      <c r="H20" s="28">
        <v>61.6</v>
      </c>
      <c r="I20" s="28">
        <v>62</v>
      </c>
      <c r="J20" s="28">
        <f t="shared" si="4"/>
        <v>62</v>
      </c>
      <c r="K20" s="28">
        <v>0.1</v>
      </c>
      <c r="L20" s="9">
        <f t="shared" si="6"/>
        <v>68.2</v>
      </c>
      <c r="M20" s="10">
        <v>0</v>
      </c>
      <c r="N20" s="26">
        <v>1</v>
      </c>
      <c r="O20" s="9">
        <f t="shared" si="5"/>
        <v>68.2</v>
      </c>
      <c r="P20" s="11">
        <f t="shared" si="7"/>
        <v>52</v>
      </c>
      <c r="Q20" s="44"/>
      <c r="R20" s="13">
        <v>60</v>
      </c>
      <c r="S20" s="41"/>
    </row>
    <row r="21" spans="1:19" ht="15.6" x14ac:dyDescent="0.25">
      <c r="A21" s="41"/>
      <c r="B21" s="41"/>
      <c r="C21" s="26">
        <v>13</v>
      </c>
      <c r="D21" s="18" t="s">
        <v>42</v>
      </c>
      <c r="E21" s="28">
        <v>34</v>
      </c>
      <c r="F21" s="28">
        <v>45.2</v>
      </c>
      <c r="G21" s="28">
        <v>34.6</v>
      </c>
      <c r="H21" s="28">
        <v>37.299999999999997</v>
      </c>
      <c r="I21" s="28">
        <v>36.1</v>
      </c>
      <c r="J21" s="28">
        <f t="shared" si="4"/>
        <v>37.440000000000005</v>
      </c>
      <c r="K21" s="28">
        <v>0.1</v>
      </c>
      <c r="L21" s="9">
        <f t="shared" si="6"/>
        <v>41.184000000000012</v>
      </c>
      <c r="M21" s="10">
        <v>0</v>
      </c>
      <c r="N21" s="26">
        <v>1</v>
      </c>
      <c r="O21" s="9">
        <f t="shared" si="5"/>
        <v>41.184000000000012</v>
      </c>
      <c r="P21" s="11">
        <f t="shared" si="7"/>
        <v>87</v>
      </c>
      <c r="Q21" s="44"/>
      <c r="R21" s="13">
        <v>60</v>
      </c>
      <c r="S21" s="41"/>
    </row>
    <row r="22" spans="1:19" ht="15.6" x14ac:dyDescent="0.25">
      <c r="A22" s="41"/>
      <c r="B22" s="42"/>
      <c r="C22" s="26">
        <v>14</v>
      </c>
      <c r="D22" s="18" t="s">
        <v>43</v>
      </c>
      <c r="E22" s="28">
        <v>52.3</v>
      </c>
      <c r="F22" s="28">
        <v>51.9</v>
      </c>
      <c r="G22" s="28">
        <v>48.2</v>
      </c>
      <c r="H22" s="28">
        <v>51.7</v>
      </c>
      <c r="I22" s="28">
        <v>51.5</v>
      </c>
      <c r="J22" s="28">
        <f t="shared" si="4"/>
        <v>51.11999999999999</v>
      </c>
      <c r="K22" s="28">
        <v>0.1</v>
      </c>
      <c r="L22" s="9">
        <f t="shared" si="6"/>
        <v>56.231999999999992</v>
      </c>
      <c r="M22" s="26">
        <v>1</v>
      </c>
      <c r="N22" s="26">
        <v>1</v>
      </c>
      <c r="O22" s="9">
        <f t="shared" si="5"/>
        <v>56.231999999999992</v>
      </c>
      <c r="P22" s="11">
        <f t="shared" si="7"/>
        <v>64</v>
      </c>
      <c r="Q22" s="45"/>
      <c r="R22" s="13">
        <v>60</v>
      </c>
      <c r="S22" s="42"/>
    </row>
    <row r="23" spans="1:19" ht="15.6" x14ac:dyDescent="0.25">
      <c r="A23" s="41"/>
      <c r="B23" s="26" t="s">
        <v>44</v>
      </c>
      <c r="C23" s="26">
        <v>1</v>
      </c>
      <c r="D23" s="18" t="s">
        <v>44</v>
      </c>
      <c r="E23" s="28">
        <v>10860</v>
      </c>
      <c r="F23" s="28">
        <v>10860</v>
      </c>
      <c r="G23" s="28">
        <v>10860</v>
      </c>
      <c r="H23" s="28">
        <v>10860</v>
      </c>
      <c r="I23" s="28">
        <v>10860</v>
      </c>
      <c r="J23" s="28">
        <f t="shared" si="4"/>
        <v>10860</v>
      </c>
      <c r="K23" s="28">
        <v>0.1</v>
      </c>
      <c r="L23" s="9">
        <f t="shared" si="6"/>
        <v>11946.000000000002</v>
      </c>
      <c r="M23" s="26">
        <v>1</v>
      </c>
      <c r="N23" s="26">
        <v>100</v>
      </c>
      <c r="O23" s="9">
        <f t="shared" si="5"/>
        <v>119.46000000000002</v>
      </c>
      <c r="P23" s="11">
        <f t="shared" si="7"/>
        <v>30</v>
      </c>
      <c r="Q23" s="46">
        <f>SUM(O23:O29)/(MAX(O23:O29)*COUNT(M23:M29))</f>
        <v>0.50230860299921065</v>
      </c>
      <c r="R23" s="13">
        <v>60</v>
      </c>
      <c r="S23" s="26">
        <f>P23</f>
        <v>30</v>
      </c>
    </row>
    <row r="24" spans="1:19" ht="15.6" x14ac:dyDescent="0.25">
      <c r="A24" s="41"/>
      <c r="B24" s="26" t="s">
        <v>45</v>
      </c>
      <c r="C24" s="26">
        <v>2</v>
      </c>
      <c r="D24" s="18" t="s">
        <v>45</v>
      </c>
      <c r="E24" s="28">
        <v>83.6</v>
      </c>
      <c r="F24" s="28">
        <v>75.099999999999994</v>
      </c>
      <c r="G24" s="28">
        <v>82.3</v>
      </c>
      <c r="H24" s="28">
        <v>83</v>
      </c>
      <c r="I24" s="28">
        <v>83</v>
      </c>
      <c r="J24" s="28">
        <f t="shared" si="4"/>
        <v>81.400000000000006</v>
      </c>
      <c r="K24" s="28">
        <v>0.1</v>
      </c>
      <c r="L24" s="9">
        <f t="shared" si="6"/>
        <v>89.54000000000002</v>
      </c>
      <c r="M24" s="26">
        <v>1</v>
      </c>
      <c r="N24" s="26">
        <v>2</v>
      </c>
      <c r="O24" s="9">
        <f t="shared" si="5"/>
        <v>44.77000000000001</v>
      </c>
      <c r="P24" s="11">
        <f t="shared" si="7"/>
        <v>80</v>
      </c>
      <c r="Q24" s="44"/>
      <c r="R24" s="13">
        <v>60</v>
      </c>
      <c r="S24" s="26">
        <f>P24</f>
        <v>80</v>
      </c>
    </row>
    <row r="25" spans="1:19" ht="15.6" x14ac:dyDescent="0.25">
      <c r="A25" s="41"/>
      <c r="B25" s="26" t="s">
        <v>46</v>
      </c>
      <c r="C25" s="26">
        <v>3</v>
      </c>
      <c r="D25" s="18" t="s">
        <v>47</v>
      </c>
      <c r="E25" s="28">
        <v>58.5</v>
      </c>
      <c r="F25" s="28">
        <v>59.9</v>
      </c>
      <c r="G25" s="28">
        <v>59.3</v>
      </c>
      <c r="H25" s="28">
        <v>58.3</v>
      </c>
      <c r="I25" s="28">
        <v>60.2</v>
      </c>
      <c r="J25" s="28">
        <f t="shared" si="4"/>
        <v>59.239999999999995</v>
      </c>
      <c r="K25" s="28">
        <v>0.1</v>
      </c>
      <c r="L25" s="9">
        <f t="shared" si="6"/>
        <v>65.164000000000001</v>
      </c>
      <c r="M25" s="26">
        <v>1</v>
      </c>
      <c r="N25" s="26">
        <v>1</v>
      </c>
      <c r="O25" s="9">
        <f t="shared" si="5"/>
        <v>65.164000000000001</v>
      </c>
      <c r="P25" s="11">
        <f t="shared" si="7"/>
        <v>55</v>
      </c>
      <c r="Q25" s="44"/>
      <c r="R25" s="13">
        <v>60</v>
      </c>
      <c r="S25" s="43">
        <f>MIN(P25:P29)</f>
        <v>50</v>
      </c>
    </row>
    <row r="26" spans="1:19" ht="15.6" x14ac:dyDescent="0.25">
      <c r="A26" s="41"/>
      <c r="B26" s="47" t="s">
        <v>48</v>
      </c>
      <c r="C26" s="26">
        <v>4</v>
      </c>
      <c r="D26" s="18" t="s">
        <v>49</v>
      </c>
      <c r="E26" s="28">
        <v>37.1</v>
      </c>
      <c r="F26" s="28">
        <v>35.200000000000003</v>
      </c>
      <c r="G26" s="28">
        <v>36.6</v>
      </c>
      <c r="H26" s="28">
        <v>41.2</v>
      </c>
      <c r="I26" s="28">
        <v>39.299999999999997</v>
      </c>
      <c r="J26" s="28">
        <f t="shared" si="4"/>
        <v>37.88000000000001</v>
      </c>
      <c r="K26" s="28">
        <v>0.1</v>
      </c>
      <c r="L26" s="9">
        <f t="shared" si="6"/>
        <v>41.668000000000013</v>
      </c>
      <c r="M26" s="26">
        <v>1</v>
      </c>
      <c r="N26" s="26">
        <v>1</v>
      </c>
      <c r="O26" s="9">
        <f t="shared" si="5"/>
        <v>41.668000000000013</v>
      </c>
      <c r="P26" s="11">
        <f t="shared" si="7"/>
        <v>86</v>
      </c>
      <c r="Q26" s="44"/>
      <c r="R26" s="13">
        <v>60</v>
      </c>
      <c r="S26" s="41"/>
    </row>
    <row r="27" spans="1:19" ht="15.6" x14ac:dyDescent="0.25">
      <c r="A27" s="41"/>
      <c r="B27" s="47"/>
      <c r="C27" s="26">
        <v>5</v>
      </c>
      <c r="D27" s="18" t="s">
        <v>50</v>
      </c>
      <c r="E27" s="28">
        <v>37.200000000000003</v>
      </c>
      <c r="F27" s="28">
        <v>35</v>
      </c>
      <c r="G27" s="28">
        <v>36.6</v>
      </c>
      <c r="H27" s="28">
        <v>35</v>
      </c>
      <c r="I27" s="28">
        <v>35</v>
      </c>
      <c r="J27" s="28">
        <f t="shared" si="4"/>
        <v>35.760000000000005</v>
      </c>
      <c r="K27" s="28">
        <v>0.1</v>
      </c>
      <c r="L27" s="9">
        <f t="shared" si="6"/>
        <v>39.336000000000006</v>
      </c>
      <c r="M27" s="10">
        <v>0</v>
      </c>
      <c r="N27" s="26">
        <v>1</v>
      </c>
      <c r="O27" s="9">
        <f t="shared" si="5"/>
        <v>39.336000000000006</v>
      </c>
      <c r="P27" s="11">
        <f t="shared" si="7"/>
        <v>91</v>
      </c>
      <c r="Q27" s="44"/>
      <c r="R27" s="13">
        <v>60</v>
      </c>
      <c r="S27" s="41"/>
    </row>
    <row r="28" spans="1:19" ht="15.6" x14ac:dyDescent="0.25">
      <c r="A28" s="41"/>
      <c r="B28" s="47"/>
      <c r="C28" s="26">
        <v>6</v>
      </c>
      <c r="D28" s="18" t="s">
        <v>40</v>
      </c>
      <c r="E28" s="28">
        <v>31.2</v>
      </c>
      <c r="F28" s="28">
        <v>35.299999999999997</v>
      </c>
      <c r="G28" s="28">
        <v>34.6</v>
      </c>
      <c r="H28" s="28">
        <v>36</v>
      </c>
      <c r="I28" s="28">
        <v>37.299999999999997</v>
      </c>
      <c r="J28" s="28">
        <f t="shared" si="4"/>
        <v>34.879999999999995</v>
      </c>
      <c r="K28" s="28">
        <v>0.1</v>
      </c>
      <c r="L28" s="9">
        <f t="shared" si="6"/>
        <v>38.367999999999995</v>
      </c>
      <c r="M28" s="26">
        <v>1</v>
      </c>
      <c r="N28" s="26">
        <v>1</v>
      </c>
      <c r="O28" s="9">
        <f t="shared" si="5"/>
        <v>38.367999999999995</v>
      </c>
      <c r="P28" s="11">
        <f t="shared" si="7"/>
        <v>93</v>
      </c>
      <c r="Q28" s="44"/>
      <c r="R28" s="13"/>
      <c r="S28" s="41"/>
    </row>
    <row r="29" spans="1:19" ht="15.6" x14ac:dyDescent="0.25">
      <c r="A29" s="42"/>
      <c r="B29" s="47"/>
      <c r="C29" s="26">
        <v>7</v>
      </c>
      <c r="D29" s="18" t="s">
        <v>51</v>
      </c>
      <c r="E29" s="28">
        <v>253.9</v>
      </c>
      <c r="F29" s="28">
        <v>261.3</v>
      </c>
      <c r="G29" s="28">
        <v>257.39999999999998</v>
      </c>
      <c r="H29" s="28">
        <v>262.39999999999998</v>
      </c>
      <c r="I29" s="28">
        <v>260.89999999999998</v>
      </c>
      <c r="J29" s="28">
        <f t="shared" si="4"/>
        <v>259.18</v>
      </c>
      <c r="K29" s="28">
        <v>0.1</v>
      </c>
      <c r="L29" s="9">
        <f t="shared" si="6"/>
        <v>285.09800000000001</v>
      </c>
      <c r="M29" s="26">
        <v>1</v>
      </c>
      <c r="N29" s="26">
        <v>4</v>
      </c>
      <c r="O29" s="9">
        <f t="shared" si="5"/>
        <v>71.274500000000003</v>
      </c>
      <c r="P29" s="11">
        <f t="shared" si="7"/>
        <v>50</v>
      </c>
      <c r="Q29" s="45"/>
      <c r="R29" s="13">
        <v>60</v>
      </c>
      <c r="S29" s="42"/>
    </row>
  </sheetData>
  <mergeCells count="11">
    <mergeCell ref="B26:B29"/>
    <mergeCell ref="A2:A5"/>
    <mergeCell ref="B2:B5"/>
    <mergeCell ref="Q2:Q5"/>
    <mergeCell ref="S2:S5"/>
    <mergeCell ref="A9:A29"/>
    <mergeCell ref="B9:B22"/>
    <mergeCell ref="Q9:Q22"/>
    <mergeCell ref="S9:S22"/>
    <mergeCell ref="Q23:Q29"/>
    <mergeCell ref="S25:S29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9"/>
  <sheetViews>
    <sheetView zoomScale="85" zoomScaleNormal="85" workbookViewId="0">
      <selection activeCell="K37" sqref="K37:K38"/>
    </sheetView>
  </sheetViews>
  <sheetFormatPr defaultRowHeight="14.4" x14ac:dyDescent="0.25"/>
  <cols>
    <col min="4" max="4" width="34" customWidth="1"/>
    <col min="10" max="10" width="11" customWidth="1"/>
    <col min="11" max="11" width="11.33203125" customWidth="1"/>
    <col min="12" max="12" width="12.44140625" customWidth="1"/>
    <col min="13" max="13" width="10.44140625" bestFit="1" customWidth="1"/>
    <col min="14" max="14" width="13.44140625" customWidth="1"/>
    <col min="15" max="15" width="11.6640625" customWidth="1"/>
    <col min="16" max="16" width="18.88671875" bestFit="1" customWidth="1"/>
    <col min="17" max="17" width="15.44140625" customWidth="1"/>
    <col min="18" max="18" width="18.88671875" bestFit="1" customWidth="1"/>
    <col min="19" max="19" width="14" bestFit="1" customWidth="1"/>
  </cols>
  <sheetData>
    <row r="1" spans="1:23" ht="22.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U1" s="6" t="s">
        <v>0</v>
      </c>
      <c r="V1" s="6" t="str">
        <f>A2</f>
        <v>QCJL12</v>
      </c>
      <c r="W1" s="6" t="str">
        <f>A9</f>
        <v>QCJG12</v>
      </c>
    </row>
    <row r="2" spans="1:23" ht="22.2" x14ac:dyDescent="0.25">
      <c r="A2" s="7" t="s">
        <v>52</v>
      </c>
      <c r="B2" s="8" t="s">
        <v>20</v>
      </c>
      <c r="C2" s="7">
        <v>1</v>
      </c>
      <c r="D2" s="7" t="s">
        <v>21</v>
      </c>
      <c r="E2" s="7"/>
      <c r="F2" s="7"/>
      <c r="G2" s="7"/>
      <c r="H2" s="7"/>
      <c r="I2" s="7"/>
      <c r="J2" s="9"/>
      <c r="K2" s="7"/>
      <c r="L2" s="9"/>
      <c r="M2" s="10">
        <v>0</v>
      </c>
      <c r="N2" s="7">
        <v>2</v>
      </c>
      <c r="O2" s="9">
        <f t="shared" ref="O2:O5" si="0">L2/N2</f>
        <v>0</v>
      </c>
      <c r="P2" s="11" t="e">
        <f t="shared" ref="P2:P5" si="1">ROUNDDOWN(3600/O2,0)</f>
        <v>#DIV/0!</v>
      </c>
      <c r="Q2" s="12" t="e">
        <f>SUM(O2:O5)/(MAX(O2:O5)*COUNT(M2:M5))</f>
        <v>#DIV/0!</v>
      </c>
      <c r="R2" s="13">
        <v>60</v>
      </c>
      <c r="S2" s="7" t="e">
        <f>MIN(P2:P5)</f>
        <v>#DIV/0!</v>
      </c>
      <c r="U2" s="6" t="s">
        <v>22</v>
      </c>
      <c r="V2" s="6" t="str">
        <f>B2</f>
        <v>DIP</v>
      </c>
      <c r="W2" s="6" t="str">
        <f>B9</f>
        <v>组装</v>
      </c>
    </row>
    <row r="3" spans="1:23" ht="22.2" x14ac:dyDescent="0.25">
      <c r="A3" s="7"/>
      <c r="B3" s="14"/>
      <c r="C3" s="7">
        <v>2</v>
      </c>
      <c r="D3" s="7" t="s">
        <v>23</v>
      </c>
      <c r="E3" s="7"/>
      <c r="F3" s="7"/>
      <c r="G3" s="7"/>
      <c r="H3" s="7"/>
      <c r="I3" s="7"/>
      <c r="J3" s="9"/>
      <c r="K3" s="7"/>
      <c r="L3" s="9"/>
      <c r="M3" s="10">
        <v>0</v>
      </c>
      <c r="N3" s="7">
        <v>2</v>
      </c>
      <c r="O3" s="9">
        <f t="shared" si="0"/>
        <v>0</v>
      </c>
      <c r="P3" s="11" t="e">
        <f t="shared" si="1"/>
        <v>#DIV/0!</v>
      </c>
      <c r="Q3" s="12"/>
      <c r="R3" s="13">
        <v>60</v>
      </c>
      <c r="S3" s="7"/>
      <c r="U3" s="6" t="s">
        <v>24</v>
      </c>
      <c r="V3" s="15" t="e">
        <f>Q2</f>
        <v>#DIV/0!</v>
      </c>
      <c r="W3" s="15" t="e">
        <f>Q9</f>
        <v>#DIV/0!</v>
      </c>
    </row>
    <row r="4" spans="1:23" ht="22.2" x14ac:dyDescent="0.25">
      <c r="A4" s="7"/>
      <c r="B4" s="14"/>
      <c r="C4" s="7">
        <v>3</v>
      </c>
      <c r="D4" s="7" t="s">
        <v>25</v>
      </c>
      <c r="E4" s="7"/>
      <c r="F4" s="7"/>
      <c r="G4" s="7"/>
      <c r="H4" s="7"/>
      <c r="I4" s="7"/>
      <c r="J4" s="9"/>
      <c r="K4" s="7"/>
      <c r="L4" s="9"/>
      <c r="M4" s="10">
        <v>0</v>
      </c>
      <c r="N4" s="7">
        <v>2</v>
      </c>
      <c r="O4" s="9">
        <f t="shared" si="0"/>
        <v>0</v>
      </c>
      <c r="P4" s="11" t="e">
        <f t="shared" si="1"/>
        <v>#DIV/0!</v>
      </c>
      <c r="Q4" s="12"/>
      <c r="R4" s="13">
        <v>60</v>
      </c>
      <c r="S4" s="7"/>
      <c r="U4" s="6" t="s">
        <v>26</v>
      </c>
      <c r="V4" s="6" t="e">
        <f>S2</f>
        <v>#DIV/0!</v>
      </c>
      <c r="W4" s="6" t="e">
        <f>S9</f>
        <v>#DIV/0!</v>
      </c>
    </row>
    <row r="5" spans="1:23" ht="15.6" x14ac:dyDescent="0.25">
      <c r="A5" s="7"/>
      <c r="B5" s="16"/>
      <c r="C5" s="7">
        <v>4</v>
      </c>
      <c r="D5" s="7" t="s">
        <v>27</v>
      </c>
      <c r="E5" s="7"/>
      <c r="F5" s="7"/>
      <c r="G5" s="7"/>
      <c r="H5" s="7"/>
      <c r="I5" s="7"/>
      <c r="J5" s="9"/>
      <c r="K5" s="7"/>
      <c r="L5" s="9"/>
      <c r="M5" s="10">
        <v>0</v>
      </c>
      <c r="N5" s="7">
        <v>2</v>
      </c>
      <c r="O5" s="9">
        <f t="shared" si="0"/>
        <v>0</v>
      </c>
      <c r="P5" s="11" t="e">
        <f t="shared" si="1"/>
        <v>#DIV/0!</v>
      </c>
      <c r="Q5" s="12"/>
      <c r="R5" s="13">
        <v>60</v>
      </c>
      <c r="S5" s="7"/>
    </row>
    <row r="6" spans="1:23" ht="15.6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7"/>
    </row>
    <row r="8" spans="1:23" ht="17.399999999999999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28</v>
      </c>
      <c r="O8" s="4" t="s">
        <v>14</v>
      </c>
      <c r="P8" s="4" t="s">
        <v>15</v>
      </c>
      <c r="Q8" s="4" t="s">
        <v>16</v>
      </c>
      <c r="R8" s="5" t="s">
        <v>17</v>
      </c>
      <c r="S8" s="4" t="s">
        <v>18</v>
      </c>
    </row>
    <row r="9" spans="1:23" ht="15.6" x14ac:dyDescent="0.25">
      <c r="A9" s="8" t="s">
        <v>53</v>
      </c>
      <c r="B9" s="8" t="s">
        <v>29</v>
      </c>
      <c r="C9" s="7">
        <v>1</v>
      </c>
      <c r="D9" s="18" t="s">
        <v>30</v>
      </c>
      <c r="E9" s="19"/>
      <c r="F9" s="19"/>
      <c r="G9" s="19"/>
      <c r="H9" s="19"/>
      <c r="I9" s="19"/>
      <c r="J9" s="19"/>
      <c r="K9" s="7"/>
      <c r="L9" s="9"/>
      <c r="M9" s="7">
        <v>1</v>
      </c>
      <c r="N9" s="7">
        <v>1</v>
      </c>
      <c r="O9" s="9">
        <f t="shared" ref="O9:O29" si="2">L9/N9</f>
        <v>0</v>
      </c>
      <c r="P9" s="11" t="e">
        <f>ROUNDDOWN(3600/O9,0)</f>
        <v>#DIV/0!</v>
      </c>
      <c r="Q9" s="20" t="e">
        <f>SUM(O9:O22)/(MAX(O9:O22)*COUNT(M9:M22))</f>
        <v>#DIV/0!</v>
      </c>
      <c r="R9" s="13">
        <v>60</v>
      </c>
      <c r="S9" s="8" t="e">
        <f>MIN(P9:P24)</f>
        <v>#DIV/0!</v>
      </c>
    </row>
    <row r="10" spans="1:23" ht="15.6" x14ac:dyDescent="0.25">
      <c r="A10" s="14"/>
      <c r="B10" s="14"/>
      <c r="C10" s="7">
        <v>2</v>
      </c>
      <c r="D10" s="18" t="s">
        <v>31</v>
      </c>
      <c r="E10" s="19"/>
      <c r="F10" s="19"/>
      <c r="G10" s="19"/>
      <c r="H10" s="19"/>
      <c r="I10" s="19"/>
      <c r="J10" s="19"/>
      <c r="K10" s="7"/>
      <c r="L10" s="9"/>
      <c r="M10" s="7">
        <v>1</v>
      </c>
      <c r="N10" s="7">
        <v>1</v>
      </c>
      <c r="O10" s="9">
        <f t="shared" si="2"/>
        <v>0</v>
      </c>
      <c r="P10" s="11" t="e">
        <f t="shared" ref="P10:P29" si="3">ROUNDDOWN(3600/O10,0)</f>
        <v>#DIV/0!</v>
      </c>
      <c r="Q10" s="21"/>
      <c r="R10" s="13">
        <v>60</v>
      </c>
      <c r="S10" s="14"/>
    </row>
    <row r="11" spans="1:23" ht="15.6" x14ac:dyDescent="0.25">
      <c r="A11" s="14"/>
      <c r="B11" s="14"/>
      <c r="C11" s="7">
        <v>3</v>
      </c>
      <c r="D11" s="22" t="s">
        <v>32</v>
      </c>
      <c r="E11" s="19"/>
      <c r="F11" s="19"/>
      <c r="G11" s="19"/>
      <c r="H11" s="19"/>
      <c r="I11" s="19"/>
      <c r="J11" s="19"/>
      <c r="K11" s="7"/>
      <c r="L11" s="9"/>
      <c r="M11" s="7">
        <v>1</v>
      </c>
      <c r="N11" s="7">
        <v>1</v>
      </c>
      <c r="O11" s="9">
        <f t="shared" si="2"/>
        <v>0</v>
      </c>
      <c r="P11" s="11" t="e">
        <f t="shared" si="3"/>
        <v>#DIV/0!</v>
      </c>
      <c r="Q11" s="21"/>
      <c r="R11" s="13">
        <v>60</v>
      </c>
      <c r="S11" s="14"/>
    </row>
    <row r="12" spans="1:23" ht="15.6" x14ac:dyDescent="0.25">
      <c r="A12" s="14"/>
      <c r="B12" s="14"/>
      <c r="C12" s="7">
        <v>4</v>
      </c>
      <c r="D12" s="18" t="s">
        <v>33</v>
      </c>
      <c r="E12" s="19"/>
      <c r="F12" s="19"/>
      <c r="G12" s="19"/>
      <c r="H12" s="19"/>
      <c r="I12" s="19"/>
      <c r="J12" s="19"/>
      <c r="K12" s="7"/>
      <c r="L12" s="9"/>
      <c r="M12" s="10">
        <v>0</v>
      </c>
      <c r="N12" s="7">
        <v>1</v>
      </c>
      <c r="O12" s="9">
        <f t="shared" si="2"/>
        <v>0</v>
      </c>
      <c r="P12" s="11" t="e">
        <f t="shared" si="3"/>
        <v>#DIV/0!</v>
      </c>
      <c r="Q12" s="21"/>
      <c r="R12" s="13">
        <v>60</v>
      </c>
      <c r="S12" s="14"/>
    </row>
    <row r="13" spans="1:23" ht="15.6" x14ac:dyDescent="0.25">
      <c r="A13" s="14"/>
      <c r="B13" s="14"/>
      <c r="C13" s="7">
        <v>5</v>
      </c>
      <c r="D13" s="18" t="s">
        <v>34</v>
      </c>
      <c r="E13" s="19"/>
      <c r="F13" s="19"/>
      <c r="G13" s="19"/>
      <c r="H13" s="19"/>
      <c r="I13" s="19"/>
      <c r="J13" s="19"/>
      <c r="K13" s="7"/>
      <c r="L13" s="9"/>
      <c r="M13" s="7">
        <v>1</v>
      </c>
      <c r="N13" s="7">
        <v>1</v>
      </c>
      <c r="O13" s="9">
        <f t="shared" si="2"/>
        <v>0</v>
      </c>
      <c r="P13" s="11" t="e">
        <f t="shared" si="3"/>
        <v>#DIV/0!</v>
      </c>
      <c r="Q13" s="21"/>
      <c r="R13" s="13">
        <v>60</v>
      </c>
      <c r="S13" s="14"/>
    </row>
    <row r="14" spans="1:23" ht="15.6" x14ac:dyDescent="0.25">
      <c r="A14" s="14"/>
      <c r="B14" s="14"/>
      <c r="C14" s="7">
        <v>6</v>
      </c>
      <c r="D14" s="18" t="s">
        <v>35</v>
      </c>
      <c r="E14" s="19"/>
      <c r="F14" s="19"/>
      <c r="G14" s="19"/>
      <c r="H14" s="19"/>
      <c r="I14" s="19"/>
      <c r="J14" s="19"/>
      <c r="K14" s="7"/>
      <c r="L14" s="9"/>
      <c r="M14" s="10">
        <v>0</v>
      </c>
      <c r="N14" s="7">
        <v>1</v>
      </c>
      <c r="O14" s="9">
        <f t="shared" si="2"/>
        <v>0</v>
      </c>
      <c r="P14" s="11" t="e">
        <f t="shared" si="3"/>
        <v>#DIV/0!</v>
      </c>
      <c r="Q14" s="21"/>
      <c r="R14" s="13">
        <v>60</v>
      </c>
      <c r="S14" s="14"/>
    </row>
    <row r="15" spans="1:23" ht="15.6" x14ac:dyDescent="0.25">
      <c r="A15" s="14"/>
      <c r="B15" s="14"/>
      <c r="C15" s="7">
        <v>7</v>
      </c>
      <c r="D15" s="18" t="s">
        <v>36</v>
      </c>
      <c r="E15" s="19"/>
      <c r="F15" s="19"/>
      <c r="G15" s="19"/>
      <c r="H15" s="19"/>
      <c r="I15" s="19"/>
      <c r="J15" s="19"/>
      <c r="K15" s="7"/>
      <c r="L15" s="9"/>
      <c r="M15" s="10">
        <v>0</v>
      </c>
      <c r="N15" s="7">
        <v>1</v>
      </c>
      <c r="O15" s="9">
        <f t="shared" si="2"/>
        <v>0</v>
      </c>
      <c r="P15" s="11" t="e">
        <f t="shared" si="3"/>
        <v>#DIV/0!</v>
      </c>
      <c r="Q15" s="21"/>
      <c r="R15" s="13">
        <v>60</v>
      </c>
      <c r="S15" s="14"/>
    </row>
    <row r="16" spans="1:23" ht="15.6" x14ac:dyDescent="0.25">
      <c r="A16" s="14"/>
      <c r="B16" s="14"/>
      <c r="C16" s="7">
        <v>8</v>
      </c>
      <c r="D16" s="18" t="s">
        <v>37</v>
      </c>
      <c r="E16" s="19"/>
      <c r="F16" s="19"/>
      <c r="G16" s="19"/>
      <c r="H16" s="19"/>
      <c r="I16" s="19"/>
      <c r="J16" s="19"/>
      <c r="K16" s="7"/>
      <c r="L16" s="9"/>
      <c r="M16" s="10">
        <v>0</v>
      </c>
      <c r="N16" s="7">
        <v>1</v>
      </c>
      <c r="O16" s="9">
        <f t="shared" si="2"/>
        <v>0</v>
      </c>
      <c r="P16" s="11" t="e">
        <f t="shared" si="3"/>
        <v>#DIV/0!</v>
      </c>
      <c r="Q16" s="21"/>
      <c r="R16" s="13">
        <v>60</v>
      </c>
      <c r="S16" s="14"/>
    </row>
    <row r="17" spans="1:19" ht="15.6" x14ac:dyDescent="0.25">
      <c r="A17" s="14"/>
      <c r="B17" s="14"/>
      <c r="C17" s="7">
        <v>9</v>
      </c>
      <c r="D17" s="18" t="s">
        <v>38</v>
      </c>
      <c r="E17" s="19"/>
      <c r="F17" s="19"/>
      <c r="G17" s="19"/>
      <c r="H17" s="19"/>
      <c r="I17" s="19"/>
      <c r="J17" s="19"/>
      <c r="K17" s="7"/>
      <c r="L17" s="9"/>
      <c r="M17" s="10">
        <v>0</v>
      </c>
      <c r="N17" s="7">
        <v>1</v>
      </c>
      <c r="O17" s="9">
        <f t="shared" si="2"/>
        <v>0</v>
      </c>
      <c r="P17" s="11" t="e">
        <f t="shared" si="3"/>
        <v>#DIV/0!</v>
      </c>
      <c r="Q17" s="21"/>
      <c r="R17" s="13">
        <v>60</v>
      </c>
      <c r="S17" s="14"/>
    </row>
    <row r="18" spans="1:19" ht="15.6" x14ac:dyDescent="0.25">
      <c r="A18" s="14"/>
      <c r="B18" s="14"/>
      <c r="C18" s="7">
        <v>10</v>
      </c>
      <c r="D18" s="18" t="s">
        <v>39</v>
      </c>
      <c r="E18" s="19"/>
      <c r="F18" s="19"/>
      <c r="G18" s="19"/>
      <c r="H18" s="19"/>
      <c r="I18" s="19"/>
      <c r="J18" s="19"/>
      <c r="K18" s="7"/>
      <c r="L18" s="9"/>
      <c r="M18" s="10">
        <v>0</v>
      </c>
      <c r="N18" s="7">
        <v>1</v>
      </c>
      <c r="O18" s="9">
        <f t="shared" si="2"/>
        <v>0</v>
      </c>
      <c r="P18" s="11" t="e">
        <f t="shared" si="3"/>
        <v>#DIV/0!</v>
      </c>
      <c r="Q18" s="21"/>
      <c r="R18" s="13">
        <v>60</v>
      </c>
      <c r="S18" s="14"/>
    </row>
    <row r="19" spans="1:19" ht="15.6" x14ac:dyDescent="0.25">
      <c r="A19" s="14"/>
      <c r="B19" s="14"/>
      <c r="C19" s="7">
        <v>11</v>
      </c>
      <c r="D19" s="18" t="s">
        <v>40</v>
      </c>
      <c r="E19" s="19"/>
      <c r="F19" s="19"/>
      <c r="G19" s="19"/>
      <c r="H19" s="19"/>
      <c r="I19" s="19"/>
      <c r="J19" s="19"/>
      <c r="K19" s="7"/>
      <c r="L19" s="9"/>
      <c r="M19" s="7">
        <v>1</v>
      </c>
      <c r="N19" s="7">
        <v>1</v>
      </c>
      <c r="O19" s="9">
        <f t="shared" si="2"/>
        <v>0</v>
      </c>
      <c r="P19" s="11" t="e">
        <f t="shared" si="3"/>
        <v>#DIV/0!</v>
      </c>
      <c r="Q19" s="21"/>
      <c r="R19" s="13">
        <v>60</v>
      </c>
      <c r="S19" s="14"/>
    </row>
    <row r="20" spans="1:19" ht="15.6" x14ac:dyDescent="0.25">
      <c r="A20" s="14"/>
      <c r="B20" s="14"/>
      <c r="C20" s="7">
        <v>12</v>
      </c>
      <c r="D20" s="18" t="s">
        <v>41</v>
      </c>
      <c r="E20" s="19"/>
      <c r="F20" s="19"/>
      <c r="G20" s="19"/>
      <c r="H20" s="19"/>
      <c r="I20" s="19"/>
      <c r="J20" s="19"/>
      <c r="K20" s="7"/>
      <c r="L20" s="9"/>
      <c r="M20" s="10">
        <v>0</v>
      </c>
      <c r="N20" s="7">
        <v>1</v>
      </c>
      <c r="O20" s="9">
        <f t="shared" si="2"/>
        <v>0</v>
      </c>
      <c r="P20" s="11" t="e">
        <f t="shared" si="3"/>
        <v>#DIV/0!</v>
      </c>
      <c r="Q20" s="21"/>
      <c r="R20" s="13">
        <v>60</v>
      </c>
      <c r="S20" s="14"/>
    </row>
    <row r="21" spans="1:19" ht="15.6" x14ac:dyDescent="0.25">
      <c r="A21" s="14"/>
      <c r="B21" s="14"/>
      <c r="C21" s="7">
        <v>13</v>
      </c>
      <c r="D21" s="18" t="s">
        <v>42</v>
      </c>
      <c r="E21" s="19"/>
      <c r="F21" s="19"/>
      <c r="G21" s="19"/>
      <c r="H21" s="19"/>
      <c r="I21" s="19"/>
      <c r="J21" s="19"/>
      <c r="K21" s="7"/>
      <c r="L21" s="9"/>
      <c r="M21" s="10">
        <v>0</v>
      </c>
      <c r="N21" s="7">
        <v>1</v>
      </c>
      <c r="O21" s="9">
        <f t="shared" si="2"/>
        <v>0</v>
      </c>
      <c r="P21" s="11" t="e">
        <f t="shared" si="3"/>
        <v>#DIV/0!</v>
      </c>
      <c r="Q21" s="21"/>
      <c r="R21" s="13">
        <v>60</v>
      </c>
      <c r="S21" s="14"/>
    </row>
    <row r="22" spans="1:19" ht="15.6" x14ac:dyDescent="0.25">
      <c r="A22" s="14"/>
      <c r="B22" s="16"/>
      <c r="C22" s="7">
        <v>14</v>
      </c>
      <c r="D22" s="18" t="s">
        <v>43</v>
      </c>
      <c r="E22" s="19"/>
      <c r="F22" s="19"/>
      <c r="G22" s="19"/>
      <c r="H22" s="19"/>
      <c r="I22" s="19"/>
      <c r="J22" s="19"/>
      <c r="K22" s="7"/>
      <c r="L22" s="9"/>
      <c r="M22" s="7">
        <v>1</v>
      </c>
      <c r="N22" s="7">
        <v>1</v>
      </c>
      <c r="O22" s="9">
        <f t="shared" si="2"/>
        <v>0</v>
      </c>
      <c r="P22" s="11" t="e">
        <f t="shared" si="3"/>
        <v>#DIV/0!</v>
      </c>
      <c r="Q22" s="23"/>
      <c r="R22" s="13">
        <v>60</v>
      </c>
      <c r="S22" s="16"/>
    </row>
    <row r="23" spans="1:19" ht="15.6" x14ac:dyDescent="0.25">
      <c r="A23" s="14"/>
      <c r="B23" s="7" t="s">
        <v>44</v>
      </c>
      <c r="C23" s="7">
        <v>1</v>
      </c>
      <c r="D23" s="18" t="s">
        <v>44</v>
      </c>
      <c r="E23" s="19"/>
      <c r="F23" s="19"/>
      <c r="G23" s="19"/>
      <c r="H23" s="19"/>
      <c r="I23" s="19"/>
      <c r="J23" s="19"/>
      <c r="K23" s="7"/>
      <c r="L23" s="9"/>
      <c r="M23" s="7">
        <v>1</v>
      </c>
      <c r="N23" s="7">
        <v>100</v>
      </c>
      <c r="O23" s="9">
        <f t="shared" si="2"/>
        <v>0</v>
      </c>
      <c r="P23" s="11" t="e">
        <f t="shared" si="3"/>
        <v>#DIV/0!</v>
      </c>
      <c r="Q23" s="20" t="e">
        <f>SUM(O23:O29)/(MAX(O23:O29)*COUNT(M23:M29))</f>
        <v>#DIV/0!</v>
      </c>
      <c r="R23" s="13">
        <v>60</v>
      </c>
      <c r="S23" s="7" t="e">
        <f>P23</f>
        <v>#DIV/0!</v>
      </c>
    </row>
    <row r="24" spans="1:19" ht="15.6" x14ac:dyDescent="0.25">
      <c r="A24" s="14"/>
      <c r="B24" s="7" t="s">
        <v>45</v>
      </c>
      <c r="C24" s="7">
        <v>2</v>
      </c>
      <c r="D24" s="18" t="s">
        <v>45</v>
      </c>
      <c r="E24" s="19"/>
      <c r="F24" s="19"/>
      <c r="G24" s="19"/>
      <c r="H24" s="19"/>
      <c r="I24" s="19"/>
      <c r="J24" s="19"/>
      <c r="K24" s="7"/>
      <c r="L24" s="9"/>
      <c r="M24" s="7">
        <v>1</v>
      </c>
      <c r="N24" s="7">
        <v>2</v>
      </c>
      <c r="O24" s="9">
        <f t="shared" si="2"/>
        <v>0</v>
      </c>
      <c r="P24" s="11" t="e">
        <f t="shared" si="3"/>
        <v>#DIV/0!</v>
      </c>
      <c r="Q24" s="21"/>
      <c r="R24" s="13">
        <v>60</v>
      </c>
      <c r="S24" s="7" t="e">
        <f>P24</f>
        <v>#DIV/0!</v>
      </c>
    </row>
    <row r="25" spans="1:19" ht="15.6" x14ac:dyDescent="0.25">
      <c r="A25" s="14"/>
      <c r="B25" s="7" t="s">
        <v>46</v>
      </c>
      <c r="C25" s="7">
        <v>3</v>
      </c>
      <c r="D25" s="18" t="s">
        <v>47</v>
      </c>
      <c r="E25" s="24"/>
      <c r="F25" s="24"/>
      <c r="G25" s="24"/>
      <c r="H25" s="24"/>
      <c r="I25" s="24"/>
      <c r="J25" s="19"/>
      <c r="K25" s="7"/>
      <c r="L25" s="9"/>
      <c r="M25" s="7">
        <v>1</v>
      </c>
      <c r="N25" s="7">
        <v>1</v>
      </c>
      <c r="O25" s="9">
        <f t="shared" si="2"/>
        <v>0</v>
      </c>
      <c r="P25" s="11" t="e">
        <f t="shared" si="3"/>
        <v>#DIV/0!</v>
      </c>
      <c r="Q25" s="21"/>
      <c r="R25" s="13">
        <v>60</v>
      </c>
      <c r="S25" s="8" t="e">
        <f>MIN(P25:P29)</f>
        <v>#DIV/0!</v>
      </c>
    </row>
    <row r="26" spans="1:19" ht="15.6" x14ac:dyDescent="0.25">
      <c r="A26" s="14"/>
      <c r="B26" s="7" t="s">
        <v>48</v>
      </c>
      <c r="C26" s="7">
        <v>4</v>
      </c>
      <c r="D26" s="18" t="s">
        <v>49</v>
      </c>
      <c r="E26" s="24"/>
      <c r="F26" s="24"/>
      <c r="G26" s="24"/>
      <c r="H26" s="24"/>
      <c r="I26" s="24"/>
      <c r="J26" s="19"/>
      <c r="K26" s="7"/>
      <c r="L26" s="9"/>
      <c r="M26" s="7">
        <v>1</v>
      </c>
      <c r="N26" s="7">
        <v>1</v>
      </c>
      <c r="O26" s="9">
        <f t="shared" si="2"/>
        <v>0</v>
      </c>
      <c r="P26" s="11" t="e">
        <f t="shared" si="3"/>
        <v>#DIV/0!</v>
      </c>
      <c r="Q26" s="21"/>
      <c r="R26" s="13">
        <v>60</v>
      </c>
      <c r="S26" s="14"/>
    </row>
    <row r="27" spans="1:19" ht="15.6" x14ac:dyDescent="0.25">
      <c r="A27" s="14"/>
      <c r="B27" s="7"/>
      <c r="C27" s="7">
        <v>5</v>
      </c>
      <c r="D27" s="18" t="s">
        <v>50</v>
      </c>
      <c r="E27" s="24"/>
      <c r="F27" s="24"/>
      <c r="G27" s="24"/>
      <c r="H27" s="24"/>
      <c r="I27" s="24"/>
      <c r="J27" s="19"/>
      <c r="K27" s="7"/>
      <c r="L27" s="9"/>
      <c r="M27" s="10">
        <v>0</v>
      </c>
      <c r="N27" s="7">
        <v>1</v>
      </c>
      <c r="O27" s="9">
        <f t="shared" si="2"/>
        <v>0</v>
      </c>
      <c r="P27" s="11" t="e">
        <f t="shared" si="3"/>
        <v>#DIV/0!</v>
      </c>
      <c r="Q27" s="21"/>
      <c r="R27" s="13">
        <v>60</v>
      </c>
      <c r="S27" s="14"/>
    </row>
    <row r="28" spans="1:19" ht="15.6" x14ac:dyDescent="0.25">
      <c r="A28" s="14"/>
      <c r="B28" s="7"/>
      <c r="C28" s="7">
        <v>6</v>
      </c>
      <c r="D28" s="18" t="s">
        <v>40</v>
      </c>
      <c r="E28" s="24"/>
      <c r="F28" s="24"/>
      <c r="G28" s="24"/>
      <c r="H28" s="24"/>
      <c r="I28" s="24"/>
      <c r="J28" s="19"/>
      <c r="K28" s="7"/>
      <c r="L28" s="9"/>
      <c r="M28" s="7">
        <v>1</v>
      </c>
      <c r="N28" s="7">
        <v>1</v>
      </c>
      <c r="O28" s="9">
        <f t="shared" si="2"/>
        <v>0</v>
      </c>
      <c r="P28" s="11" t="e">
        <f t="shared" si="3"/>
        <v>#DIV/0!</v>
      </c>
      <c r="Q28" s="21"/>
      <c r="R28" s="13"/>
      <c r="S28" s="14"/>
    </row>
    <row r="29" spans="1:19" ht="15.6" x14ac:dyDescent="0.25">
      <c r="A29" s="16"/>
      <c r="B29" s="7"/>
      <c r="C29" s="7">
        <v>7</v>
      </c>
      <c r="D29" s="18" t="s">
        <v>51</v>
      </c>
      <c r="E29" s="24"/>
      <c r="F29" s="24"/>
      <c r="G29" s="24"/>
      <c r="H29" s="24"/>
      <c r="I29" s="24"/>
      <c r="J29" s="19"/>
      <c r="K29" s="7"/>
      <c r="L29" s="9"/>
      <c r="M29" s="7">
        <v>1</v>
      </c>
      <c r="N29" s="7">
        <v>4</v>
      </c>
      <c r="O29" s="9">
        <f t="shared" si="2"/>
        <v>0</v>
      </c>
      <c r="P29" s="11" t="e">
        <f t="shared" si="3"/>
        <v>#DIV/0!</v>
      </c>
      <c r="Q29" s="23"/>
      <c r="R29" s="13">
        <v>60</v>
      </c>
      <c r="S29" s="1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"/>
  <sheetViews>
    <sheetView zoomScaleNormal="100" workbookViewId="0">
      <selection activeCell="S17" sqref="S17"/>
    </sheetView>
  </sheetViews>
  <sheetFormatPr defaultRowHeight="14.4" x14ac:dyDescent="0.25"/>
  <cols>
    <col min="4" max="4" width="30.109375" customWidth="1"/>
    <col min="10" max="10" width="10.44140625" bestFit="1" customWidth="1"/>
    <col min="11" max="11" width="8.21875" bestFit="1" customWidth="1"/>
    <col min="12" max="15" width="10.44140625" bestFit="1" customWidth="1"/>
    <col min="16" max="16" width="18.88671875" bestFit="1" customWidth="1"/>
    <col min="17" max="17" width="9" bestFit="1" customWidth="1"/>
    <col min="18" max="18" width="18.88671875" bestFit="1" customWidth="1"/>
    <col min="19" max="19" width="14" bestFit="1" customWidth="1"/>
  </cols>
  <sheetData>
    <row r="1" spans="1:23" ht="22.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U1" s="6" t="s">
        <v>0</v>
      </c>
      <c r="V1" s="6" t="str">
        <f>A2</f>
        <v>QCJG04</v>
      </c>
      <c r="W1" s="6" t="str">
        <f>A9</f>
        <v>QCJG04</v>
      </c>
    </row>
    <row r="2" spans="1:23" ht="22.2" x14ac:dyDescent="0.25">
      <c r="A2" s="7" t="s">
        <v>19</v>
      </c>
      <c r="B2" s="8" t="s">
        <v>20</v>
      </c>
      <c r="C2" s="7">
        <v>1</v>
      </c>
      <c r="D2" s="7" t="s">
        <v>21</v>
      </c>
      <c r="E2" s="7"/>
      <c r="F2" s="7"/>
      <c r="G2" s="7"/>
      <c r="H2" s="7"/>
      <c r="I2" s="7"/>
      <c r="J2" s="9"/>
      <c r="K2" s="7">
        <v>0.1</v>
      </c>
      <c r="L2" s="9">
        <f t="shared" ref="L2:L5" si="0">J2*(1+K2)</f>
        <v>0</v>
      </c>
      <c r="M2" s="10">
        <v>0</v>
      </c>
      <c r="N2" s="7">
        <v>2</v>
      </c>
      <c r="O2" s="9">
        <f t="shared" ref="O2:O5" si="1">L2/N2</f>
        <v>0</v>
      </c>
      <c r="P2" s="11" t="str">
        <f t="shared" ref="P2:P5" si="2">ROUNDDOWN(3600/O2,0)</f>
        <v>#DIV/0!</v>
      </c>
      <c r="Q2" s="12" t="str">
        <f>SUM(O2:O5)/(MAX(O2:O5)*COUNT(M2:M5))</f>
        <v>#DIV/0!</v>
      </c>
      <c r="R2" s="13">
        <v>60</v>
      </c>
      <c r="S2" s="7" t="str">
        <f>MIN(P2:P5)</f>
        <v>#DIV/0!</v>
      </c>
      <c r="U2" s="6" t="s">
        <v>22</v>
      </c>
      <c r="V2" s="6" t="str">
        <f>B2</f>
        <v>DIP</v>
      </c>
      <c r="W2" s="6" t="str">
        <f>B9</f>
        <v>组装</v>
      </c>
    </row>
    <row r="3" spans="1:23" ht="22.2" x14ac:dyDescent="0.25">
      <c r="A3" s="7"/>
      <c r="B3" s="14"/>
      <c r="C3" s="7">
        <v>2</v>
      </c>
      <c r="D3" s="7" t="s">
        <v>23</v>
      </c>
      <c r="E3" s="7"/>
      <c r="F3" s="7"/>
      <c r="G3" s="7"/>
      <c r="H3" s="7"/>
      <c r="I3" s="7"/>
      <c r="J3" s="9"/>
      <c r="K3" s="7">
        <v>0.1</v>
      </c>
      <c r="L3" s="9">
        <f t="shared" si="0"/>
        <v>0</v>
      </c>
      <c r="M3" s="10">
        <v>0</v>
      </c>
      <c r="N3" s="7">
        <v>2</v>
      </c>
      <c r="O3" s="9">
        <f t="shared" si="1"/>
        <v>0</v>
      </c>
      <c r="P3" s="11" t="str">
        <f t="shared" si="2"/>
        <v>#DIV/0!</v>
      </c>
      <c r="Q3" s="12"/>
      <c r="R3" s="13">
        <v>60</v>
      </c>
      <c r="S3" s="7"/>
      <c r="U3" s="6" t="s">
        <v>24</v>
      </c>
      <c r="V3" s="15" t="str">
        <f>Q2</f>
        <v>#DIV/0!</v>
      </c>
      <c r="W3" s="15">
        <f>Q9</f>
        <v>0.70795413086000003</v>
      </c>
    </row>
    <row r="4" spans="1:23" ht="22.2" x14ac:dyDescent="0.25">
      <c r="A4" s="7"/>
      <c r="B4" s="14"/>
      <c r="C4" s="7">
        <v>3</v>
      </c>
      <c r="D4" s="7" t="s">
        <v>25</v>
      </c>
      <c r="E4" s="7"/>
      <c r="F4" s="7"/>
      <c r="G4" s="7"/>
      <c r="H4" s="7"/>
      <c r="I4" s="7"/>
      <c r="J4" s="9"/>
      <c r="K4" s="7">
        <v>0.1</v>
      </c>
      <c r="L4" s="9">
        <f t="shared" si="0"/>
        <v>0</v>
      </c>
      <c r="M4" s="10">
        <v>0</v>
      </c>
      <c r="N4" s="7">
        <v>2</v>
      </c>
      <c r="O4" s="9">
        <f t="shared" si="1"/>
        <v>0</v>
      </c>
      <c r="P4" s="11" t="str">
        <f t="shared" si="2"/>
        <v>#DIV/0!</v>
      </c>
      <c r="Q4" s="12"/>
      <c r="R4" s="13">
        <v>60</v>
      </c>
      <c r="S4" s="7"/>
      <c r="U4" s="6" t="s">
        <v>26</v>
      </c>
      <c r="V4" s="6" t="str">
        <f>S2</f>
        <v>#DIV/0!</v>
      </c>
      <c r="W4" s="6" t="str">
        <f>S9</f>
        <v>#DIV/0!</v>
      </c>
    </row>
    <row r="5" spans="1:23" ht="15.6" x14ac:dyDescent="0.25">
      <c r="A5" s="7"/>
      <c r="B5" s="16"/>
      <c r="C5" s="7">
        <v>4</v>
      </c>
      <c r="D5" s="7" t="s">
        <v>27</v>
      </c>
      <c r="E5" s="7"/>
      <c r="F5" s="7"/>
      <c r="G5" s="7"/>
      <c r="H5" s="7"/>
      <c r="I5" s="7"/>
      <c r="J5" s="9"/>
      <c r="K5" s="7">
        <v>0.1</v>
      </c>
      <c r="L5" s="9">
        <f t="shared" si="0"/>
        <v>0</v>
      </c>
      <c r="M5" s="10">
        <v>0</v>
      </c>
      <c r="N5" s="7">
        <v>2</v>
      </c>
      <c r="O5" s="9">
        <f t="shared" si="1"/>
        <v>0</v>
      </c>
      <c r="P5" s="11" t="str">
        <f t="shared" si="2"/>
        <v>#DIV/0!</v>
      </c>
      <c r="Q5" s="12"/>
      <c r="R5" s="13">
        <v>60</v>
      </c>
      <c r="S5" s="7"/>
    </row>
    <row r="6" spans="1:23" ht="15.6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7"/>
    </row>
    <row r="8" spans="1:23" ht="17.399999999999999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28</v>
      </c>
      <c r="O8" s="4" t="s">
        <v>14</v>
      </c>
      <c r="P8" s="4" t="s">
        <v>15</v>
      </c>
      <c r="Q8" s="4" t="s">
        <v>16</v>
      </c>
      <c r="R8" s="5" t="s">
        <v>17</v>
      </c>
      <c r="S8" s="4" t="s">
        <v>18</v>
      </c>
    </row>
    <row r="9" spans="1:23" ht="15.6" x14ac:dyDescent="0.25">
      <c r="A9" s="8" t="s">
        <v>19</v>
      </c>
      <c r="B9" s="8" t="s">
        <v>29</v>
      </c>
      <c r="C9" s="7">
        <v>1</v>
      </c>
      <c r="D9" s="18" t="s">
        <v>30</v>
      </c>
      <c r="E9" s="19">
        <v>55.88</v>
      </c>
      <c r="F9" s="19"/>
      <c r="G9" s="19">
        <v>62.1</v>
      </c>
      <c r="H9" s="19"/>
      <c r="I9" s="19"/>
      <c r="J9" s="19">
        <v>38.393999999999998</v>
      </c>
      <c r="K9" s="7">
        <v>0.1</v>
      </c>
      <c r="L9" s="9">
        <f>J9*(1+K9)</f>
        <v>42.233400000000003</v>
      </c>
      <c r="M9" s="7">
        <v>1</v>
      </c>
      <c r="N9" s="7">
        <v>1</v>
      </c>
      <c r="O9" s="9">
        <f t="shared" ref="O9:O29" si="3">L9/N9</f>
        <v>42.233400000000003</v>
      </c>
      <c r="P9" s="11">
        <f>ROUNDDOWN(3600/O9,0)</f>
        <v>85</v>
      </c>
      <c r="Q9" s="20">
        <f>SUM(O9:O22)/(MAX(O9:O22)*COUNT(M9:M22))</f>
        <v>0.70795413086000003</v>
      </c>
      <c r="R9" s="13">
        <v>60</v>
      </c>
      <c r="S9" s="8" t="str">
        <f>MIN(P9:P24)</f>
        <v>#DIV/0!</v>
      </c>
    </row>
    <row r="10" spans="1:23" ht="15.6" x14ac:dyDescent="0.25">
      <c r="A10" s="14"/>
      <c r="B10" s="14"/>
      <c r="C10" s="7">
        <v>2</v>
      </c>
      <c r="D10" s="18" t="s">
        <v>31</v>
      </c>
      <c r="E10" s="19">
        <v>84</v>
      </c>
      <c r="F10" s="19"/>
      <c r="G10" s="19">
        <v>44.2</v>
      </c>
      <c r="H10" s="19">
        <v>38.6</v>
      </c>
      <c r="I10" s="19"/>
      <c r="J10" s="19">
        <v>52.88</v>
      </c>
      <c r="K10" s="7">
        <v>0.1</v>
      </c>
      <c r="L10" s="9">
        <f t="shared" ref="L10:L29" si="4">J10*(1+K10)</f>
        <v>58.167999999999999</v>
      </c>
      <c r="M10" s="7">
        <v>1</v>
      </c>
      <c r="N10" s="7">
        <v>1</v>
      </c>
      <c r="O10" s="9">
        <f t="shared" si="3"/>
        <v>58.167999999999999</v>
      </c>
      <c r="P10" s="11">
        <f t="shared" ref="P10:P29" si="5">ROUNDDOWN(3600/O10,0)</f>
        <v>61</v>
      </c>
      <c r="Q10" s="21"/>
      <c r="R10" s="13">
        <v>60</v>
      </c>
      <c r="S10" s="14"/>
    </row>
    <row r="11" spans="1:23" ht="15.6" x14ac:dyDescent="0.25">
      <c r="A11" s="14"/>
      <c r="B11" s="14"/>
      <c r="C11" s="7">
        <v>3</v>
      </c>
      <c r="D11" s="22" t="s">
        <v>32</v>
      </c>
      <c r="E11" s="19">
        <v>58.1</v>
      </c>
      <c r="F11" s="19"/>
      <c r="G11" s="19"/>
      <c r="H11" s="19">
        <v>57.2</v>
      </c>
      <c r="I11" s="19"/>
      <c r="J11" s="19">
        <v>44.222000000000001</v>
      </c>
      <c r="K11" s="7">
        <v>0.1</v>
      </c>
      <c r="L11" s="9">
        <f t="shared" si="4"/>
        <v>48.644199999999998</v>
      </c>
      <c r="M11" s="7">
        <v>1</v>
      </c>
      <c r="N11" s="7">
        <v>1</v>
      </c>
      <c r="O11" s="9">
        <f t="shared" si="3"/>
        <v>48.644199999999998</v>
      </c>
      <c r="P11" s="11">
        <f t="shared" si="5"/>
        <v>74</v>
      </c>
      <c r="Q11" s="21"/>
      <c r="R11" s="13">
        <v>60</v>
      </c>
      <c r="S11" s="14"/>
    </row>
    <row r="12" spans="1:23" ht="15.6" x14ac:dyDescent="0.25">
      <c r="A12" s="14"/>
      <c r="B12" s="14"/>
      <c r="C12" s="7">
        <v>4</v>
      </c>
      <c r="D12" s="18" t="s">
        <v>33</v>
      </c>
      <c r="E12" s="19">
        <v>60</v>
      </c>
      <c r="F12" s="19">
        <v>57.1</v>
      </c>
      <c r="G12" s="19"/>
      <c r="H12" s="19">
        <v>57.3</v>
      </c>
      <c r="I12" s="19"/>
      <c r="J12" s="19">
        <v>56.384</v>
      </c>
      <c r="K12" s="7">
        <v>0.1</v>
      </c>
      <c r="L12" s="9">
        <f t="shared" si="4"/>
        <v>62.022399999999998</v>
      </c>
      <c r="M12" s="10">
        <v>0</v>
      </c>
      <c r="N12" s="7">
        <v>1</v>
      </c>
      <c r="O12" s="9">
        <f t="shared" si="3"/>
        <v>62.022399999999998</v>
      </c>
      <c r="P12" s="11">
        <f t="shared" si="5"/>
        <v>58</v>
      </c>
      <c r="Q12" s="21"/>
      <c r="R12" s="13">
        <v>60</v>
      </c>
      <c r="S12" s="14"/>
    </row>
    <row r="13" spans="1:23" ht="15.6" x14ac:dyDescent="0.25">
      <c r="A13" s="14"/>
      <c r="B13" s="14"/>
      <c r="C13" s="7">
        <v>5</v>
      </c>
      <c r="D13" s="18" t="s">
        <v>34</v>
      </c>
      <c r="E13" s="19">
        <v>27.6</v>
      </c>
      <c r="F13" s="19"/>
      <c r="G13" s="19"/>
      <c r="H13" s="19">
        <v>36</v>
      </c>
      <c r="I13" s="19"/>
      <c r="J13" s="19">
        <v>39.39</v>
      </c>
      <c r="K13" s="7">
        <v>0.1</v>
      </c>
      <c r="L13" s="9">
        <f t="shared" si="4"/>
        <v>43.329000000000001</v>
      </c>
      <c r="M13" s="7">
        <v>1</v>
      </c>
      <c r="N13" s="7">
        <v>1</v>
      </c>
      <c r="O13" s="9">
        <f t="shared" si="3"/>
        <v>43.329000000000001</v>
      </c>
      <c r="P13" s="11">
        <f t="shared" si="5"/>
        <v>83</v>
      </c>
      <c r="Q13" s="21"/>
      <c r="R13" s="13">
        <v>60</v>
      </c>
      <c r="S13" s="14"/>
    </row>
    <row r="14" spans="1:23" ht="15.6" x14ac:dyDescent="0.25">
      <c r="A14" s="14"/>
      <c r="B14" s="14"/>
      <c r="C14" s="7">
        <v>6</v>
      </c>
      <c r="D14" s="18" t="s">
        <v>35</v>
      </c>
      <c r="E14" s="19">
        <v>32</v>
      </c>
      <c r="F14" s="19"/>
      <c r="G14" s="19"/>
      <c r="H14" s="19">
        <v>27.9</v>
      </c>
      <c r="I14" s="19"/>
      <c r="J14" s="19">
        <v>32.89</v>
      </c>
      <c r="K14" s="7">
        <v>0.1</v>
      </c>
      <c r="L14" s="9">
        <f t="shared" si="4"/>
        <v>36.179000000000002</v>
      </c>
      <c r="M14" s="10">
        <v>0</v>
      </c>
      <c r="N14" s="7">
        <v>1</v>
      </c>
      <c r="O14" s="9">
        <f t="shared" si="3"/>
        <v>36.179000000000002</v>
      </c>
      <c r="P14" s="11">
        <f t="shared" si="5"/>
        <v>99</v>
      </c>
      <c r="Q14" s="21"/>
      <c r="R14" s="13">
        <v>60</v>
      </c>
      <c r="S14" s="14"/>
    </row>
    <row r="15" spans="1:23" ht="15.6" x14ac:dyDescent="0.25">
      <c r="A15" s="14"/>
      <c r="B15" s="14"/>
      <c r="C15" s="7">
        <v>7</v>
      </c>
      <c r="D15" s="18" t="s">
        <v>36</v>
      </c>
      <c r="E15" s="19"/>
      <c r="F15" s="19"/>
      <c r="G15" s="19"/>
      <c r="H15" s="19">
        <v>51.8</v>
      </c>
      <c r="I15" s="19"/>
      <c r="J15" s="19">
        <v>45.771999999999998</v>
      </c>
      <c r="K15" s="7">
        <v>0.1</v>
      </c>
      <c r="L15" s="9">
        <f t="shared" si="4"/>
        <v>50.349200000000003</v>
      </c>
      <c r="M15" s="10">
        <v>0</v>
      </c>
      <c r="N15" s="7">
        <v>1</v>
      </c>
      <c r="O15" s="9">
        <f t="shared" si="3"/>
        <v>50.349200000000003</v>
      </c>
      <c r="P15" s="11">
        <f t="shared" si="5"/>
        <v>71</v>
      </c>
      <c r="Q15" s="21"/>
      <c r="R15" s="13">
        <v>60</v>
      </c>
      <c r="S15" s="14"/>
    </row>
    <row r="16" spans="1:23" ht="15.6" x14ac:dyDescent="0.25">
      <c r="A16" s="14"/>
      <c r="B16" s="14"/>
      <c r="C16" s="7">
        <v>8</v>
      </c>
      <c r="D16" s="18" t="s">
        <v>37</v>
      </c>
      <c r="E16" s="19"/>
      <c r="F16" s="19"/>
      <c r="G16" s="19"/>
      <c r="H16" s="19">
        <v>70.400000000000006</v>
      </c>
      <c r="I16" s="19"/>
      <c r="J16" s="19">
        <v>53.21</v>
      </c>
      <c r="K16" s="7">
        <v>0.1</v>
      </c>
      <c r="L16" s="9">
        <f t="shared" si="4"/>
        <v>58.530999999999999</v>
      </c>
      <c r="M16" s="10">
        <v>0</v>
      </c>
      <c r="N16" s="7">
        <v>1</v>
      </c>
      <c r="O16" s="9">
        <f t="shared" si="3"/>
        <v>58.530999999999999</v>
      </c>
      <c r="P16" s="11">
        <f t="shared" si="5"/>
        <v>61</v>
      </c>
      <c r="Q16" s="21"/>
      <c r="R16" s="13">
        <v>60</v>
      </c>
      <c r="S16" s="14"/>
    </row>
    <row r="17" spans="1:19" ht="15.6" x14ac:dyDescent="0.25">
      <c r="A17" s="14"/>
      <c r="B17" s="14"/>
      <c r="C17" s="7">
        <v>9</v>
      </c>
      <c r="D17" s="18" t="s">
        <v>38</v>
      </c>
      <c r="E17" s="19"/>
      <c r="F17" s="19"/>
      <c r="G17" s="19"/>
      <c r="H17" s="19">
        <v>44.2</v>
      </c>
      <c r="I17" s="19"/>
      <c r="J17" s="19">
        <v>35.686</v>
      </c>
      <c r="K17" s="7">
        <v>0.1</v>
      </c>
      <c r="L17" s="9">
        <f t="shared" si="4"/>
        <v>39.254600000000003</v>
      </c>
      <c r="M17" s="10">
        <v>0</v>
      </c>
      <c r="N17" s="7">
        <v>1</v>
      </c>
      <c r="O17" s="9">
        <f t="shared" si="3"/>
        <v>39.254600000000003</v>
      </c>
      <c r="P17" s="11">
        <f t="shared" si="5"/>
        <v>91</v>
      </c>
      <c r="Q17" s="21"/>
      <c r="R17" s="13">
        <v>60</v>
      </c>
      <c r="S17" s="14"/>
    </row>
    <row r="18" spans="1:19" ht="15.6" x14ac:dyDescent="0.25">
      <c r="A18" s="14"/>
      <c r="B18" s="14"/>
      <c r="C18" s="7">
        <v>10</v>
      </c>
      <c r="D18" s="18" t="s">
        <v>39</v>
      </c>
      <c r="E18" s="19"/>
      <c r="F18" s="19"/>
      <c r="G18" s="19"/>
      <c r="H18" s="19">
        <v>50.8</v>
      </c>
      <c r="I18" s="19"/>
      <c r="J18" s="19">
        <v>51.47</v>
      </c>
      <c r="K18" s="7">
        <v>0.1</v>
      </c>
      <c r="L18" s="9">
        <f t="shared" si="4"/>
        <v>56.616999999999997</v>
      </c>
      <c r="M18" s="10">
        <v>0</v>
      </c>
      <c r="N18" s="7">
        <v>1</v>
      </c>
      <c r="O18" s="9">
        <f t="shared" si="3"/>
        <v>56.616999999999997</v>
      </c>
      <c r="P18" s="11">
        <f t="shared" si="5"/>
        <v>63</v>
      </c>
      <c r="Q18" s="21"/>
      <c r="R18" s="13">
        <v>60</v>
      </c>
      <c r="S18" s="14"/>
    </row>
    <row r="19" spans="1:19" ht="15.6" x14ac:dyDescent="0.25">
      <c r="A19" s="14"/>
      <c r="B19" s="14"/>
      <c r="C19" s="7">
        <v>11</v>
      </c>
      <c r="D19" s="18" t="s">
        <v>40</v>
      </c>
      <c r="E19" s="19"/>
      <c r="F19" s="19"/>
      <c r="G19" s="19"/>
      <c r="H19" s="19">
        <v>62.2</v>
      </c>
      <c r="I19" s="19"/>
      <c r="J19" s="19">
        <v>32.802</v>
      </c>
      <c r="K19" s="7">
        <v>0.1</v>
      </c>
      <c r="L19" s="9">
        <f t="shared" si="4"/>
        <v>36.0822</v>
      </c>
      <c r="M19" s="7">
        <v>1</v>
      </c>
      <c r="N19" s="7">
        <v>1</v>
      </c>
      <c r="O19" s="9">
        <f t="shared" si="3"/>
        <v>36.0822</v>
      </c>
      <c r="P19" s="11">
        <f t="shared" si="5"/>
        <v>99</v>
      </c>
      <c r="Q19" s="21"/>
      <c r="R19" s="13">
        <v>60</v>
      </c>
      <c r="S19" s="14"/>
    </row>
    <row r="20" spans="1:19" ht="15.6" x14ac:dyDescent="0.25">
      <c r="A20" s="14"/>
      <c r="B20" s="14"/>
      <c r="C20" s="7">
        <v>12</v>
      </c>
      <c r="D20" s="18" t="s">
        <v>41</v>
      </c>
      <c r="E20" s="19"/>
      <c r="F20" s="19"/>
      <c r="G20" s="19"/>
      <c r="H20" s="19">
        <v>37.9</v>
      </c>
      <c r="I20" s="19"/>
      <c r="J20" s="19">
        <v>37.844000000000001</v>
      </c>
      <c r="K20" s="7">
        <v>0.1</v>
      </c>
      <c r="L20" s="9">
        <f t="shared" si="4"/>
        <v>41.628399999999999</v>
      </c>
      <c r="M20" s="10">
        <v>0</v>
      </c>
      <c r="N20" s="7">
        <v>1</v>
      </c>
      <c r="O20" s="9">
        <f t="shared" si="3"/>
        <v>41.628399999999999</v>
      </c>
      <c r="P20" s="11">
        <f t="shared" si="5"/>
        <v>86</v>
      </c>
      <c r="Q20" s="21"/>
      <c r="R20" s="13">
        <v>60</v>
      </c>
      <c r="S20" s="14"/>
    </row>
    <row r="21" spans="1:19" ht="15.6" x14ac:dyDescent="0.25">
      <c r="A21" s="14"/>
      <c r="B21" s="14"/>
      <c r="C21" s="7">
        <v>13</v>
      </c>
      <c r="D21" s="18" t="s">
        <v>42</v>
      </c>
      <c r="E21" s="19"/>
      <c r="F21" s="19"/>
      <c r="G21" s="19"/>
      <c r="H21" s="19">
        <v>38.5</v>
      </c>
      <c r="I21" s="19"/>
      <c r="J21" s="19">
        <v>37.898000000000003</v>
      </c>
      <c r="K21" s="7">
        <v>0.1</v>
      </c>
      <c r="L21" s="9">
        <f t="shared" si="4"/>
        <v>41.687800000000003</v>
      </c>
      <c r="M21" s="10">
        <v>0</v>
      </c>
      <c r="N21" s="7">
        <v>1</v>
      </c>
      <c r="O21" s="9">
        <f t="shared" si="3"/>
        <v>41.687800000000003</v>
      </c>
      <c r="P21" s="11">
        <f t="shared" si="5"/>
        <v>86</v>
      </c>
      <c r="Q21" s="21"/>
      <c r="R21" s="13">
        <v>60</v>
      </c>
      <c r="S21" s="14"/>
    </row>
    <row r="22" spans="1:19" ht="15.6" x14ac:dyDescent="0.25">
      <c r="A22" s="14"/>
      <c r="B22" s="16"/>
      <c r="C22" s="7">
        <v>14</v>
      </c>
      <c r="D22" s="18" t="s">
        <v>43</v>
      </c>
      <c r="E22" s="19"/>
      <c r="F22" s="19"/>
      <c r="G22" s="19"/>
      <c r="H22" s="19"/>
      <c r="I22" s="19"/>
      <c r="J22" s="19"/>
      <c r="K22" s="7">
        <v>0.1</v>
      </c>
      <c r="L22" s="9">
        <f t="shared" si="4"/>
        <v>0</v>
      </c>
      <c r="M22" s="7">
        <v>1</v>
      </c>
      <c r="N22" s="7">
        <v>1</v>
      </c>
      <c r="O22" s="9">
        <f t="shared" si="3"/>
        <v>0</v>
      </c>
      <c r="P22" s="11" t="str">
        <f t="shared" si="5"/>
        <v>#DIV/0!</v>
      </c>
      <c r="Q22" s="23"/>
      <c r="R22" s="13">
        <v>60</v>
      </c>
      <c r="S22" s="16"/>
    </row>
    <row r="23" spans="1:19" ht="15.6" x14ac:dyDescent="0.25">
      <c r="A23" s="14"/>
      <c r="B23" s="7" t="s">
        <v>44</v>
      </c>
      <c r="C23" s="7">
        <v>1</v>
      </c>
      <c r="D23" s="18" t="s">
        <v>44</v>
      </c>
      <c r="E23" s="19"/>
      <c r="F23" s="19"/>
      <c r="G23" s="19"/>
      <c r="H23" s="19"/>
      <c r="I23" s="19"/>
      <c r="J23" s="19"/>
      <c r="K23" s="7">
        <v>0.1</v>
      </c>
      <c r="L23" s="9">
        <f t="shared" si="4"/>
        <v>0</v>
      </c>
      <c r="M23" s="7">
        <v>1</v>
      </c>
      <c r="N23" s="7">
        <v>100</v>
      </c>
      <c r="O23" s="9">
        <f t="shared" si="3"/>
        <v>0</v>
      </c>
      <c r="P23" s="11" t="str">
        <f t="shared" si="5"/>
        <v>#DIV/0!</v>
      </c>
      <c r="Q23" s="20" t="str">
        <f>SUM(O23:O29)/(MAX(O23:O29)*COUNT(M23:M29))</f>
        <v>#DIV/0!</v>
      </c>
      <c r="R23" s="13">
        <v>60</v>
      </c>
      <c r="S23" s="7" t="str">
        <f>P23</f>
        <v>#DIV/0!</v>
      </c>
    </row>
    <row r="24" spans="1:19" ht="15.6" x14ac:dyDescent="0.25">
      <c r="A24" s="14"/>
      <c r="B24" s="7" t="s">
        <v>45</v>
      </c>
      <c r="C24" s="7">
        <v>2</v>
      </c>
      <c r="D24" s="18" t="s">
        <v>45</v>
      </c>
      <c r="E24" s="19"/>
      <c r="F24" s="19"/>
      <c r="G24" s="19"/>
      <c r="H24" s="19"/>
      <c r="I24" s="19"/>
      <c r="J24" s="19"/>
      <c r="K24" s="7">
        <v>0.1</v>
      </c>
      <c r="L24" s="9">
        <f t="shared" si="4"/>
        <v>0</v>
      </c>
      <c r="M24" s="7">
        <v>1</v>
      </c>
      <c r="N24" s="7">
        <v>2</v>
      </c>
      <c r="O24" s="9">
        <f t="shared" si="3"/>
        <v>0</v>
      </c>
      <c r="P24" s="11" t="str">
        <f t="shared" si="5"/>
        <v>#DIV/0!</v>
      </c>
      <c r="Q24" s="21"/>
      <c r="R24" s="13">
        <v>60</v>
      </c>
      <c r="S24" s="7" t="str">
        <f>P24</f>
        <v>#DIV/0!</v>
      </c>
    </row>
    <row r="25" spans="1:19" ht="15.6" x14ac:dyDescent="0.25">
      <c r="A25" s="14"/>
      <c r="B25" s="7" t="s">
        <v>46</v>
      </c>
      <c r="C25" s="7">
        <v>3</v>
      </c>
      <c r="D25" s="18" t="s">
        <v>47</v>
      </c>
      <c r="E25" s="24"/>
      <c r="F25" s="24"/>
      <c r="G25" s="24"/>
      <c r="H25" s="24"/>
      <c r="I25" s="24"/>
      <c r="J25" s="19"/>
      <c r="K25" s="7">
        <v>0.1</v>
      </c>
      <c r="L25" s="9">
        <f t="shared" si="4"/>
        <v>0</v>
      </c>
      <c r="M25" s="7">
        <v>1</v>
      </c>
      <c r="N25" s="7">
        <v>1</v>
      </c>
      <c r="O25" s="9">
        <f t="shared" si="3"/>
        <v>0</v>
      </c>
      <c r="P25" s="11" t="str">
        <f t="shared" si="5"/>
        <v>#DIV/0!</v>
      </c>
      <c r="Q25" s="21"/>
      <c r="R25" s="13">
        <v>60</v>
      </c>
      <c r="S25" s="8" t="str">
        <f>MIN(P25:P29)</f>
        <v>#DIV/0!</v>
      </c>
    </row>
    <row r="26" spans="1:19" ht="15.6" x14ac:dyDescent="0.25">
      <c r="A26" s="14"/>
      <c r="B26" s="7" t="s">
        <v>48</v>
      </c>
      <c r="C26" s="7">
        <v>4</v>
      </c>
      <c r="D26" s="18" t="s">
        <v>49</v>
      </c>
      <c r="E26" s="24"/>
      <c r="F26" s="24"/>
      <c r="G26" s="24"/>
      <c r="H26" s="24"/>
      <c r="I26" s="24"/>
      <c r="J26" s="19"/>
      <c r="K26" s="7">
        <v>0.1</v>
      </c>
      <c r="L26" s="9">
        <f t="shared" si="4"/>
        <v>0</v>
      </c>
      <c r="M26" s="7">
        <v>1</v>
      </c>
      <c r="N26" s="7">
        <v>1</v>
      </c>
      <c r="O26" s="9">
        <f t="shared" si="3"/>
        <v>0</v>
      </c>
      <c r="P26" s="11" t="str">
        <f t="shared" si="5"/>
        <v>#DIV/0!</v>
      </c>
      <c r="Q26" s="21"/>
      <c r="R26" s="13">
        <v>60</v>
      </c>
      <c r="S26" s="14"/>
    </row>
    <row r="27" spans="1:19" ht="15.6" x14ac:dyDescent="0.25">
      <c r="A27" s="14"/>
      <c r="B27" s="7"/>
      <c r="C27" s="7">
        <v>5</v>
      </c>
      <c r="D27" s="18" t="s">
        <v>50</v>
      </c>
      <c r="E27" s="24"/>
      <c r="F27" s="24"/>
      <c r="G27" s="24"/>
      <c r="H27" s="24"/>
      <c r="I27" s="24"/>
      <c r="J27" s="19"/>
      <c r="K27" s="7">
        <v>0.1</v>
      </c>
      <c r="L27" s="9">
        <f t="shared" si="4"/>
        <v>0</v>
      </c>
      <c r="M27" s="10">
        <v>0</v>
      </c>
      <c r="N27" s="7">
        <v>1</v>
      </c>
      <c r="O27" s="9">
        <f t="shared" si="3"/>
        <v>0</v>
      </c>
      <c r="P27" s="11" t="str">
        <f t="shared" si="5"/>
        <v>#DIV/0!</v>
      </c>
      <c r="Q27" s="21"/>
      <c r="R27" s="13">
        <v>60</v>
      </c>
      <c r="S27" s="14"/>
    </row>
    <row r="28" spans="1:19" ht="15.6" x14ac:dyDescent="0.25">
      <c r="A28" s="14"/>
      <c r="B28" s="7"/>
      <c r="C28" s="7">
        <v>6</v>
      </c>
      <c r="D28" s="18" t="s">
        <v>40</v>
      </c>
      <c r="E28" s="24"/>
      <c r="F28" s="24"/>
      <c r="G28" s="24"/>
      <c r="H28" s="24"/>
      <c r="I28" s="24"/>
      <c r="J28" s="19"/>
      <c r="K28" s="7">
        <v>0.1</v>
      </c>
      <c r="L28" s="9">
        <f t="shared" ref="L28" si="6">J28*(1+K28)</f>
        <v>0</v>
      </c>
      <c r="M28" s="7">
        <v>1</v>
      </c>
      <c r="N28" s="7">
        <v>1</v>
      </c>
      <c r="O28" s="9">
        <f t="shared" si="3"/>
        <v>0</v>
      </c>
      <c r="P28" s="11" t="str">
        <f t="shared" si="5"/>
        <v>#DIV/0!</v>
      </c>
      <c r="Q28" s="21"/>
      <c r="R28" s="13"/>
      <c r="S28" s="14"/>
    </row>
    <row r="29" spans="1:19" ht="15.6" x14ac:dyDescent="0.25">
      <c r="A29" s="16"/>
      <c r="B29" s="7"/>
      <c r="C29" s="7">
        <v>7</v>
      </c>
      <c r="D29" s="18" t="s">
        <v>51</v>
      </c>
      <c r="E29" s="24"/>
      <c r="F29" s="24"/>
      <c r="G29" s="24"/>
      <c r="H29" s="24"/>
      <c r="I29" s="24"/>
      <c r="J29" s="19"/>
      <c r="K29" s="7">
        <v>0.1</v>
      </c>
      <c r="L29" s="9">
        <f t="shared" si="4"/>
        <v>0</v>
      </c>
      <c r="M29" s="7">
        <v>1</v>
      </c>
      <c r="N29" s="7">
        <v>4</v>
      </c>
      <c r="O29" s="9">
        <f t="shared" si="3"/>
        <v>0</v>
      </c>
      <c r="P29" s="11" t="str">
        <f t="shared" si="5"/>
        <v>#DIV/0!</v>
      </c>
      <c r="Q29" s="23"/>
      <c r="R29" s="13">
        <v>60</v>
      </c>
      <c r="S29" s="16"/>
    </row>
  </sheetData>
  <phoneticPr fontId="5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Lines>0</Lines>
  <Paragraphs>0</Paragraphs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QCQH02-AL09线</vt:lpstr>
      <vt:lpstr>QCJG04-AL10线-V1</vt:lpstr>
      <vt:lpstr>QCAL12-AL11线</vt:lpstr>
      <vt:lpstr>QCJG012-AL11线</vt:lpstr>
      <vt:lpstr>QCJG04-AL12线</vt:lpstr>
    </vt:vector>
  </TitlesOfParts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knoo g</cp:lastModifiedBy>
  <cp:revision>0</cp:revision>
  <dcterms:modified xsi:type="dcterms:W3CDTF">2026-08-13T18:16:46Z</dcterms:modified>
</cp:coreProperties>
</file>